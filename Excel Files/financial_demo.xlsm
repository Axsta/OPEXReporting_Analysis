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C:\Users\Lenovo\Desktop\Portfolio\Excel_BSFI_Report\"/>
    </mc:Choice>
  </mc:AlternateContent>
  <xr:revisionPtr revIDLastSave="0" documentId="13_ncr:1_{D6D9EF6F-E093-497C-A8D7-47AD552FE7F7}" xr6:coauthVersionLast="47" xr6:coauthVersionMax="47" xr10:uidLastSave="{00000000-0000-0000-0000-000000000000}"/>
  <bookViews>
    <workbookView xWindow="28680" yWindow="-120" windowWidth="29040" windowHeight="15720" xr2:uid="{00000000-000D-0000-FFFF-FFFF00000000}"/>
  </bookViews>
  <sheets>
    <sheet name="Landing" sheetId="14" r:id="rId1"/>
    <sheet name="Summary" sheetId="15" r:id="rId2"/>
    <sheet name="Dashboard" sheetId="16" r:id="rId3"/>
    <sheet name="AllData" sheetId="13" r:id="rId4"/>
    <sheet name="Jan 2025" sheetId="1" r:id="rId5"/>
    <sheet name="Feb 2025" sheetId="2" r:id="rId6"/>
    <sheet name="Mar 2025" sheetId="3" r:id="rId7"/>
    <sheet name="Apr 2025" sheetId="4" r:id="rId8"/>
    <sheet name="May 2025" sheetId="5" r:id="rId9"/>
    <sheet name="Jun 2025" sheetId="6" r:id="rId10"/>
    <sheet name="Jul 2025" sheetId="7" r:id="rId11"/>
    <sheet name="Aug 2025" sheetId="8" r:id="rId12"/>
    <sheet name="Sep 2025" sheetId="9" r:id="rId13"/>
    <sheet name="Oct 2025" sheetId="10" r:id="rId14"/>
    <sheet name="Nov 2025" sheetId="11" r:id="rId15"/>
    <sheet name="Dec 2025" sheetId="12" r:id="rId16"/>
  </sheets>
  <definedNames>
    <definedName name="_xlcn.WorksheetConnection_financial_demo.xlsmTable21" hidden="1">Table2[]</definedName>
    <definedName name="_xleta.IF" hidden="1" xlm="1">#NAME?</definedName>
    <definedName name="_xleta.SHEET" hidden="1" xlm="1">#NAME?</definedName>
    <definedName name="_xlnm.Print_Area" localSheetId="1">Summary!$A$1:$I$49</definedName>
    <definedName name="Slicer_Expense_Item_Account">#N/A</definedName>
    <definedName name="Slicer_High_Variance_Flag2">#N/A</definedName>
    <definedName name="Slicer_Month">#N/A</definedName>
    <definedName name="Slicer_Overrun_Flag2">#N/A</definedName>
  </definedNames>
  <calcPr calcId="191029"/>
  <pivotCaches>
    <pivotCache cacheId="856" r:id="rId17"/>
    <pivotCache cacheId="862" r:id="rId18"/>
    <pivotCache cacheId="865" r:id="rId19"/>
    <pivotCache cacheId="868" r:id="rId20"/>
  </pivotCaches>
  <extLst>
    <ext xmlns:x14="http://schemas.microsoft.com/office/spreadsheetml/2009/9/main" uri="{876F7934-8845-4945-9796-88D515C7AA90}">
      <x14:pivotCaches>
        <pivotCache cacheId="355" r:id="rId21"/>
      </x14:pivotCaches>
    </ex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841E416B-1EF1-43b6-AB56-02D37102CBD5}">
      <x15:pivotCaches>
        <pivotCache cacheId="859" r:id="rId26"/>
        <pivotCache cacheId="871" r:id="rId27"/>
      </x15:pivotCaches>
    </ext>
    <ext xmlns:x15="http://schemas.microsoft.com/office/spreadsheetml/2010/11/main" uri="{983426D0-5260-488c-9760-48F4B6AC55F4}">
      <x15:pivotTableReferences>
        <x15:pivotTableReference r:id="rId28"/>
        <x15:pivotTableReference r:id="rId29"/>
      </x15:pivotTableReferences>
    </ext>
    <ext xmlns:x15="http://schemas.microsoft.com/office/spreadsheetml/2010/11/main" uri="{FCE2AD5D-F65C-4FA6-A056-5C36A1767C68}">
      <x15:dataModel>
        <x15:modelTables>
          <x15:modelTable id="Table2" name="tblFinanceData" connection="WorksheetConnection_financial_demo.xlsm!Table2"/>
        </x15:modelTables>
        <x15:extLst>
          <ext xmlns:x16="http://schemas.microsoft.com/office/spreadsheetml/2014/11/main" uri="{9835A34E-60A6-4A7C-AAB8-D5F71C897F49}">
            <x16:modelTimeGroupings>
              <x16:modelTimeGrouping tableName="tblFinanceData" columnName="Month" columnId="Month">
                <x16:calculatedTimeColumn columnName="Month (Month Index)" columnId="Month (Month Index)" contentType="monthsindex" isSelected="1"/>
                <x16:calculatedTimeColumn columnName="Month (Month)" columnId="Month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8" i="16" l="1"/>
  <c r="H25" i="15"/>
  <c r="G25" i="15"/>
  <c r="F25" i="15"/>
  <c r="E25" i="15"/>
  <c r="D25" i="15"/>
  <c r="C25" i="15"/>
  <c r="H24" i="15"/>
  <c r="G24" i="15"/>
  <c r="F24" i="15"/>
  <c r="E24" i="15"/>
  <c r="D24" i="15"/>
  <c r="C24" i="15"/>
  <c r="H23" i="15"/>
  <c r="G23" i="15"/>
  <c r="F23" i="15"/>
  <c r="E23" i="15"/>
  <c r="D23" i="15"/>
  <c r="C23" i="15"/>
  <c r="H22" i="15"/>
  <c r="G22" i="15"/>
  <c r="F22" i="15"/>
  <c r="E22" i="15"/>
  <c r="D22" i="15"/>
  <c r="C22" i="15"/>
  <c r="H21" i="15"/>
  <c r="G21" i="15"/>
  <c r="F21" i="15"/>
  <c r="E21" i="15"/>
  <c r="D21" i="15"/>
  <c r="C21" i="15"/>
  <c r="H20" i="15"/>
  <c r="G20" i="15"/>
  <c r="F20" i="15"/>
  <c r="E20" i="15"/>
  <c r="D20" i="15"/>
  <c r="C20" i="15"/>
  <c r="H19" i="15"/>
  <c r="G19" i="15"/>
  <c r="F19" i="15"/>
  <c r="E19" i="15"/>
  <c r="D19" i="15"/>
  <c r="C19" i="15"/>
  <c r="H18" i="15"/>
  <c r="G18" i="15"/>
  <c r="F18" i="15"/>
  <c r="E18" i="15"/>
  <c r="D18" i="15"/>
  <c r="C18" i="15"/>
  <c r="H17" i="15"/>
  <c r="G17" i="15"/>
  <c r="F17" i="15"/>
  <c r="E17" i="15"/>
  <c r="D17" i="15"/>
  <c r="C17" i="15"/>
  <c r="H16" i="15"/>
  <c r="G16" i="15"/>
  <c r="F16" i="15"/>
  <c r="E16" i="15"/>
  <c r="D16" i="15"/>
  <c r="C16" i="15"/>
  <c r="L8" i="16"/>
  <c r="P8" i="16"/>
  <c r="G8" i="16"/>
  <c r="D8"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7B4B71-0D09-4F3B-B662-BA1763D3FF9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B8E72FA-F3AE-461D-82E4-C7C609DC0E9F}" name="WorksheetConnection_financial_demo.xlsm!Table2" type="102" refreshedVersion="8" minRefreshableVersion="5">
    <extLst>
      <ext xmlns:x15="http://schemas.microsoft.com/office/spreadsheetml/2010/11/main" uri="{DE250136-89BD-433C-8126-D09CA5730AF9}">
        <x15:connection id="Table2">
          <x15:rangePr sourceName="_xlcn.WorksheetConnection_financial_demo.xlsmTable2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blFinanceData].[Month (Month)].[All]}"/>
  </metadataStrings>
  <mdxMetadata count="1">
    <mdx n="0" f="s">
      <ms ns="1" c="0"/>
    </mdx>
  </mdxMetadata>
  <valueMetadata count="1">
    <bk>
      <rc t="1" v="0"/>
    </bk>
  </valueMetadata>
</metadata>
</file>

<file path=xl/sharedStrings.xml><?xml version="1.0" encoding="utf-8"?>
<sst xmlns="http://schemas.openxmlformats.org/spreadsheetml/2006/main" count="1618" uniqueCount="86">
  <si>
    <t>Month</t>
  </si>
  <si>
    <t>Expense Item/Account</t>
  </si>
  <si>
    <t>Cost Center</t>
  </si>
  <si>
    <t>Budget/Forecast</t>
  </si>
  <si>
    <t>Actual</t>
  </si>
  <si>
    <t>Variance ($)</t>
  </si>
  <si>
    <t>Variance (%)</t>
  </si>
  <si>
    <t>Comments/Explanation</t>
  </si>
  <si>
    <t>Vendor</t>
  </si>
  <si>
    <t>Activity</t>
  </si>
  <si>
    <t>Personnel Count</t>
  </si>
  <si>
    <t>ABC Cost</t>
  </si>
  <si>
    <t>Jan 2025</t>
  </si>
  <si>
    <t>Salaries</t>
  </si>
  <si>
    <t>Operations</t>
  </si>
  <si>
    <t>Significant overrun — investigate vendor invoices or one-time fines.</t>
  </si>
  <si>
    <t>Vendor C</t>
  </si>
  <si>
    <t>Maintenance</t>
  </si>
  <si>
    <t>Outsourcing Fees</t>
  </si>
  <si>
    <t>Vendor D</t>
  </si>
  <si>
    <t>Project Delivery</t>
  </si>
  <si>
    <t>IT Software/Licenses</t>
  </si>
  <si>
    <t>Under-budget due to timing of hires or project delays.</t>
  </si>
  <si>
    <t>In-house</t>
  </si>
  <si>
    <t>Hiring</t>
  </si>
  <si>
    <t>Facilities Rent</t>
  </si>
  <si>
    <t>Utilities</t>
  </si>
  <si>
    <t>Fraud Losses</t>
  </si>
  <si>
    <t>Regulatory Fines</t>
  </si>
  <si>
    <t>Travel &amp; Meetings</t>
  </si>
  <si>
    <t>Vendor B</t>
  </si>
  <si>
    <t>Training</t>
  </si>
  <si>
    <t>Marketing</t>
  </si>
  <si>
    <t>Feb 2025</t>
  </si>
  <si>
    <t>Support</t>
  </si>
  <si>
    <t>Vendor A</t>
  </si>
  <si>
    <t>Mar 2025</t>
  </si>
  <si>
    <t>Apr 2025</t>
  </si>
  <si>
    <t>May 2025</t>
  </si>
  <si>
    <t>Jun 2025</t>
  </si>
  <si>
    <t>Jul 2025</t>
  </si>
  <si>
    <t>Aug 2025</t>
  </si>
  <si>
    <t>Sep 2025</t>
  </si>
  <si>
    <t>Oct 2025</t>
  </si>
  <si>
    <t>Nov 2025</t>
  </si>
  <si>
    <t>Dec 2025</t>
  </si>
  <si>
    <t>Welcome to Financial Report Demo (Expense Variance 2025)</t>
  </si>
  <si>
    <t>Latest Month (set or leave blank for auto-detect):</t>
  </si>
  <si>
    <t>Instructions:</t>
  </si>
  <si>
    <t>1) Add a new monthly sheet named like 'Mar 2025' with the same columns as monthly sheets.</t>
  </si>
  <si>
    <t>Expense Variance Report</t>
  </si>
  <si>
    <t>Summary for the month of Dec 2025</t>
  </si>
  <si>
    <t>Total Budget: $891,876_x000D_
Total Actual: $1,046,185_x000D_
Net Variance: $154,309 (17.30%)</t>
  </si>
  <si>
    <t>(Set cell B5 on summary sheet to the exact month name, e.g. 'Dec 2025' to force the macro.)</t>
  </si>
  <si>
    <t>2) On the summary sheet, set cell B5 to the exact month name to force the macro to use that month (optional).</t>
  </si>
  <si>
    <t>3) Assign the GenerateSummary macro to a button on this sheet or run from the macro list.</t>
  </si>
  <si>
    <t>4) Save report as pdf</t>
  </si>
  <si>
    <t>Row Labels</t>
  </si>
  <si>
    <t>Grand Total</t>
  </si>
  <si>
    <t>Total Budget</t>
  </si>
  <si>
    <t>Total Actual</t>
  </si>
  <si>
    <t>Variance Amount</t>
  </si>
  <si>
    <t>Variance %</t>
  </si>
  <si>
    <t>Total ABC Cost</t>
  </si>
  <si>
    <t>Column Labels</t>
  </si>
  <si>
    <t>Total Variance %</t>
  </si>
  <si>
    <t>Month (Month)</t>
  </si>
  <si>
    <t>All</t>
  </si>
  <si>
    <t>Over Budget</t>
  </si>
  <si>
    <t>Under Budget</t>
  </si>
  <si>
    <t>Summary Table</t>
  </si>
  <si>
    <t>Variance Heatmap</t>
  </si>
  <si>
    <t>ABC Cost Breakdown</t>
  </si>
  <si>
    <t>Top Overruns</t>
  </si>
  <si>
    <t>Slicers</t>
  </si>
  <si>
    <t>Yearly Dashboard</t>
  </si>
  <si>
    <t>Yearly Expense Dashboard 2025</t>
  </si>
  <si>
    <t>Actual Expenses</t>
  </si>
  <si>
    <t>Total Budget/Forecast</t>
  </si>
  <si>
    <t>Total Variance</t>
  </si>
  <si>
    <t xml:space="preserve">Highest Variance Expense Item </t>
  </si>
  <si>
    <t>Summary Report</t>
  </si>
  <si>
    <t>1) Use the slicers to interact with the pivots and cards</t>
  </si>
  <si>
    <t>Actual v/s Rolling 3M Actual</t>
  </si>
  <si>
    <t>Count of Month</t>
  </si>
  <si>
    <t>Warnings Raised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</si>
</sst>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3" formatCode="[$$-45C]#,##0.00"/>
    <numFmt numFmtId="174" formatCode="#,,\ &quot;M&quot;"/>
    <numFmt numFmtId="177" formatCode="&quot;$&quot;0.0,,\ &quot;M&quot;"/>
  </numFmts>
  <fonts count="14" x14ac:knownFonts="1">
    <font>
      <sz val="11"/>
      <color theme="1"/>
      <name val="Calibri"/>
      <family val="2"/>
      <scheme val="minor"/>
    </font>
    <font>
      <b/>
      <sz val="11"/>
      <name val="Calibri"/>
    </font>
    <font>
      <b/>
      <sz val="11"/>
      <color theme="1"/>
      <name val="Calibri"/>
      <family val="2"/>
      <scheme val="minor"/>
    </font>
    <font>
      <b/>
      <sz val="11"/>
      <color rgb="FFFFFFFF"/>
      <name val="Calibri"/>
      <family val="2"/>
      <scheme val="minor"/>
    </font>
    <font>
      <sz val="12"/>
      <color rgb="FFFFFFFF"/>
      <name val="Times New Roman"/>
      <family val="1"/>
    </font>
    <font>
      <b/>
      <sz val="28"/>
      <color rgb="FFFFFFFF"/>
      <name val="Times New Roman"/>
      <family val="1"/>
    </font>
    <font>
      <b/>
      <sz val="14"/>
      <color rgb="FFFFFFFF"/>
      <name val="Times New Roman"/>
      <family val="1"/>
    </font>
    <font>
      <b/>
      <sz val="12"/>
      <color rgb="FFFFFFFF"/>
      <name val="Times New Roman"/>
      <family val="1"/>
    </font>
    <font>
      <b/>
      <sz val="12"/>
      <color theme="1"/>
      <name val="Calibri"/>
      <family val="2"/>
      <scheme val="minor"/>
    </font>
    <font>
      <sz val="11"/>
      <color rgb="FF000000"/>
      <name val="Calibri"/>
      <family val="2"/>
    </font>
    <font>
      <sz val="16"/>
      <color theme="1"/>
      <name val="Calibri"/>
      <family val="2"/>
      <scheme val="minor"/>
    </font>
    <font>
      <sz val="18"/>
      <color theme="1"/>
      <name val="Calibri"/>
      <family val="2"/>
      <scheme val="minor"/>
    </font>
    <font>
      <sz val="16"/>
      <color theme="0"/>
      <name val="Times New Roman"/>
      <family val="1"/>
    </font>
    <font>
      <sz val="36"/>
      <color theme="0"/>
      <name val="Times New Roman"/>
      <family val="1"/>
    </font>
  </fonts>
  <fills count="14">
    <fill>
      <patternFill patternType="none"/>
    </fill>
    <fill>
      <patternFill patternType="gray125"/>
    </fill>
    <fill>
      <patternFill patternType="solid">
        <fgColor rgb="FF0070C0"/>
        <bgColor indexed="64"/>
      </patternFill>
    </fill>
    <fill>
      <patternFill patternType="solid">
        <fgColor rgb="FF203764"/>
        <bgColor indexed="64"/>
      </patternFill>
    </fill>
    <fill>
      <patternFill patternType="solid">
        <fgColor rgb="FFEBF3FF"/>
        <bgColor indexed="64"/>
      </patternFill>
    </fill>
    <fill>
      <patternFill patternType="solid">
        <fgColor rgb="FFFFC000"/>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3" tint="-0.249977111117893"/>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2"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67">
    <xf numFmtId="0" fontId="0" fillId="0" borderId="0" xfId="0"/>
    <xf numFmtId="0" fontId="1" fillId="0" borderId="1" xfId="0" applyFont="1" applyBorder="1" applyAlignment="1">
      <alignment horizontal="center" vertical="top"/>
    </xf>
    <xf numFmtId="3" fontId="0" fillId="0" borderId="0" xfId="0" applyNumberFormat="1"/>
    <xf numFmtId="10" fontId="0" fillId="0" borderId="0" xfId="0" applyNumberFormat="1"/>
    <xf numFmtId="3" fontId="0" fillId="0" borderId="1" xfId="0" applyNumberFormat="1" applyBorder="1"/>
    <xf numFmtId="10" fontId="0" fillId="0" borderId="1" xfId="0" applyNumberFormat="1" applyBorder="1"/>
    <xf numFmtId="0" fontId="2" fillId="0" borderId="1" xfId="0" applyFont="1" applyBorder="1"/>
    <xf numFmtId="0" fontId="0" fillId="0" borderId="0" xfId="0" quotePrefix="1"/>
    <xf numFmtId="17" fontId="0" fillId="0" borderId="0" xfId="0" quotePrefix="1" applyNumberFormat="1"/>
    <xf numFmtId="0" fontId="4" fillId="3" borderId="0" xfId="0" applyFont="1" applyFill="1"/>
    <xf numFmtId="0" fontId="7" fillId="3" borderId="0" xfId="0" applyFont="1" applyFill="1"/>
    <xf numFmtId="14" fontId="0" fillId="0" borderId="0" xfId="0" applyNumberFormat="1"/>
    <xf numFmtId="0" fontId="2" fillId="0" borderId="0" xfId="0" applyFont="1"/>
    <xf numFmtId="0" fontId="5" fillId="3" borderId="0" xfId="0" applyFont="1" applyFill="1" applyAlignment="1">
      <alignment horizontal="left"/>
    </xf>
    <xf numFmtId="0" fontId="6" fillId="3" borderId="0" xfId="0" applyFont="1" applyFill="1" applyAlignment="1">
      <alignment horizontal="left"/>
    </xf>
    <xf numFmtId="0" fontId="3" fillId="2" borderId="1" xfId="0" applyFont="1" applyFill="1" applyBorder="1" applyAlignment="1">
      <alignment horizontal="center"/>
    </xf>
    <xf numFmtId="3" fontId="4" fillId="3" borderId="0" xfId="0" applyNumberFormat="1" applyFont="1" applyFill="1"/>
    <xf numFmtId="3" fontId="3" fillId="2" borderId="1" xfId="0" applyNumberFormat="1" applyFont="1" applyFill="1" applyBorder="1" applyAlignment="1">
      <alignment horizontal="center"/>
    </xf>
    <xf numFmtId="10" fontId="4" fillId="3" borderId="0" xfId="0" applyNumberFormat="1" applyFont="1" applyFill="1"/>
    <xf numFmtId="10" fontId="3" fillId="2" borderId="1" xfId="0" applyNumberFormat="1" applyFont="1" applyFill="1" applyBorder="1" applyAlignment="1">
      <alignment horizontal="center"/>
    </xf>
    <xf numFmtId="4" fontId="4" fillId="3" borderId="0" xfId="0" applyNumberFormat="1" applyFont="1" applyFill="1"/>
    <xf numFmtId="4" fontId="0" fillId="0" borderId="0" xfId="0" applyNumberFormat="1"/>
    <xf numFmtId="4" fontId="3" fillId="2" borderId="1" xfId="0" applyNumberFormat="1" applyFont="1" applyFill="1" applyBorder="1" applyAlignment="1">
      <alignment horizontal="center"/>
    </xf>
    <xf numFmtId="4" fontId="0" fillId="0" borderId="1" xfId="0" applyNumberFormat="1" applyBorder="1"/>
    <xf numFmtId="49" fontId="4" fillId="3" borderId="0" xfId="0" applyNumberFormat="1" applyFont="1" applyFill="1"/>
    <xf numFmtId="49" fontId="0" fillId="0" borderId="0" xfId="0" applyNumberFormat="1"/>
    <xf numFmtId="49" fontId="3" fillId="2" borderId="1" xfId="0" applyNumberFormat="1" applyFont="1" applyFill="1" applyBorder="1" applyAlignment="1">
      <alignment horizontal="center"/>
    </xf>
    <xf numFmtId="49" fontId="0" fillId="0" borderId="1" xfId="0" applyNumberFormat="1" applyBorder="1"/>
    <xf numFmtId="0" fontId="1" fillId="0" borderId="2" xfId="0" applyFont="1" applyBorder="1" applyAlignment="1">
      <alignment horizontal="center" vertical="top"/>
    </xf>
    <xf numFmtId="0" fontId="8" fillId="4" borderId="1" xfId="0" applyFont="1" applyFill="1" applyBorder="1" applyAlignment="1">
      <alignment horizontal="center" vertical="center" wrapText="1"/>
    </xf>
    <xf numFmtId="0" fontId="8" fillId="4" borderId="1" xfId="0"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5" borderId="0" xfId="0" applyFill="1"/>
    <xf numFmtId="0" fontId="0" fillId="6" borderId="0" xfId="0" applyFill="1"/>
    <xf numFmtId="0" fontId="10" fillId="6" borderId="0" xfId="0" applyFont="1" applyFill="1" applyAlignment="1">
      <alignment horizontal="center" vertical="center"/>
    </xf>
    <xf numFmtId="0" fontId="0" fillId="7" borderId="0" xfId="0" applyFill="1"/>
    <xf numFmtId="0" fontId="11" fillId="7" borderId="0" xfId="0" applyFont="1" applyFill="1" applyAlignment="1">
      <alignment horizontal="center" vertical="center"/>
    </xf>
    <xf numFmtId="0" fontId="0" fillId="8" borderId="0" xfId="0" applyFill="1"/>
    <xf numFmtId="0" fontId="11" fillId="8"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0" fillId="9" borderId="0" xfId="0" applyFill="1"/>
    <xf numFmtId="0" fontId="11" fillId="9" borderId="0" xfId="0" applyFont="1" applyFill="1" applyAlignment="1">
      <alignment horizontal="center" vertical="center"/>
    </xf>
    <xf numFmtId="0" fontId="0" fillId="10" borderId="0" xfId="0" applyFill="1"/>
    <xf numFmtId="0" fontId="0" fillId="7" borderId="0" xfId="0" applyNumberFormat="1" applyFill="1"/>
    <xf numFmtId="0" fontId="10" fillId="6" borderId="0" xfId="0" applyFont="1" applyFill="1" applyAlignment="1">
      <alignment horizontal="center" vertical="center"/>
    </xf>
    <xf numFmtId="0" fontId="0" fillId="6" borderId="0" xfId="0" applyNumberFormat="1" applyFill="1"/>
    <xf numFmtId="0" fontId="0" fillId="0" borderId="0" xfId="0" applyAlignment="1">
      <alignment horizontal="center"/>
    </xf>
    <xf numFmtId="0" fontId="0" fillId="0" borderId="0" xfId="0" applyNumberFormat="1" applyAlignment="1">
      <alignment horizontal="center"/>
    </xf>
    <xf numFmtId="9" fontId="0" fillId="0" borderId="0" xfId="0" applyNumberFormat="1" applyAlignment="1">
      <alignment horizontal="center"/>
    </xf>
    <xf numFmtId="4" fontId="0" fillId="0" borderId="0" xfId="0" applyNumberFormat="1" applyAlignment="1">
      <alignment horizontal="center"/>
    </xf>
    <xf numFmtId="0" fontId="2" fillId="0" borderId="0" xfId="0" applyFont="1" applyAlignment="1">
      <alignment horizontal="left"/>
    </xf>
    <xf numFmtId="0" fontId="13" fillId="10" borderId="0" xfId="0" applyFont="1" applyFill="1" applyAlignment="1">
      <alignment horizontal="center"/>
    </xf>
    <xf numFmtId="0" fontId="0" fillId="11" borderId="0" xfId="0" applyFill="1"/>
    <xf numFmtId="0" fontId="12" fillId="11" borderId="0" xfId="0" applyFont="1" applyFill="1" applyAlignment="1">
      <alignment horizontal="center"/>
    </xf>
    <xf numFmtId="10" fontId="12" fillId="11" borderId="0" xfId="0" applyNumberFormat="1" applyFont="1" applyFill="1" applyAlignment="1">
      <alignment horizontal="center"/>
    </xf>
    <xf numFmtId="174" fontId="12" fillId="11" borderId="0" xfId="0" applyNumberFormat="1" applyFont="1" applyFill="1" applyAlignment="1">
      <alignment horizontal="center"/>
    </xf>
    <xf numFmtId="0" fontId="11" fillId="5" borderId="0" xfId="0" applyFont="1" applyFill="1" applyAlignment="1">
      <alignment horizontal="center" vertical="center"/>
    </xf>
    <xf numFmtId="177" fontId="12" fillId="11" borderId="0" xfId="0" applyNumberFormat="1" applyFont="1" applyFill="1" applyAlignment="1">
      <alignment horizontal="center"/>
    </xf>
    <xf numFmtId="0" fontId="11" fillId="12" borderId="0" xfId="0" applyFont="1" applyFill="1" applyAlignment="1">
      <alignment horizontal="center" vertical="center"/>
    </xf>
    <xf numFmtId="0" fontId="0" fillId="12" borderId="0" xfId="0" applyFill="1"/>
    <xf numFmtId="0" fontId="0" fillId="0" borderId="0" xfId="0" applyAlignment="1">
      <alignment wrapText="1"/>
    </xf>
    <xf numFmtId="0" fontId="0" fillId="13" borderId="0" xfId="0" applyFill="1"/>
    <xf numFmtId="0" fontId="11" fillId="13" borderId="0" xfId="0" applyFont="1" applyFill="1" applyAlignment="1">
      <alignment horizontal="center" vertical="center"/>
    </xf>
    <xf numFmtId="0" fontId="11" fillId="13" borderId="0" xfId="0" applyFont="1" applyFill="1" applyAlignment="1">
      <alignment vertical="center"/>
    </xf>
  </cellXfs>
  <cellStyles count="1">
    <cellStyle name="Normal" xfId="0" builtinId="0"/>
  </cellStyles>
  <dxfs count="92">
    <dxf>
      <alignment horizontal="center"/>
    </dxf>
    <dxf>
      <alignment horizontal="center"/>
    </dxf>
    <dxf>
      <font>
        <b/>
      </font>
    </dxf>
    <dxf>
      <alignment horizontal="center"/>
    </dxf>
    <dxf>
      <alignment horizontal="center"/>
    </dxf>
    <dxf>
      <alignment horizontal="center"/>
    </dxf>
    <dxf>
      <font>
        <b/>
      </font>
    </dxf>
    <dxf>
      <alignment horizontal="center"/>
    </dxf>
    <dxf>
      <alignment horizontal="center"/>
    </dxf>
    <dxf>
      <numFmt numFmtId="173" formatCode="[$$-45C]#,##0.00"/>
    </dxf>
    <dxf>
      <numFmt numFmtId="173" formatCode="[$$-45C]#,##0.00"/>
    </dxf>
    <dxf>
      <numFmt numFmtId="4" formatCode="#,##0.00"/>
    </dxf>
    <dxf>
      <numFmt numFmtId="13" formatCode="0%"/>
    </dxf>
    <dxf>
      <numFmt numFmtId="13" formatCode="0%"/>
    </dxf>
    <dxf>
      <font>
        <b/>
      </font>
    </dxf>
    <dxf>
      <alignment wrapText="1"/>
    </dxf>
    <dxf>
      <font>
        <b/>
      </font>
    </dxf>
    <dxf>
      <alignment horizontal="center"/>
    </dxf>
    <dxf>
      <alignment horizontal="center"/>
    </dxf>
    <dxf>
      <font>
        <b/>
      </font>
    </dxf>
    <dxf>
      <alignment horizontal="center"/>
    </dxf>
    <dxf>
      <alignment horizontal="center"/>
    </dxf>
    <dxf>
      <alignment horizontal="center"/>
    </dxf>
    <dxf>
      <font>
        <b/>
      </font>
    </dxf>
    <dxf>
      <alignment horizontal="center"/>
    </dxf>
    <dxf>
      <alignment horizontal="center"/>
    </dxf>
    <dxf>
      <numFmt numFmtId="173" formatCode="[$$-45C]#,##0.00"/>
    </dxf>
    <dxf>
      <numFmt numFmtId="173" formatCode="[$$-45C]#,##0.00"/>
    </dxf>
    <dxf>
      <numFmt numFmtId="4" formatCode="#,##0.00"/>
    </dxf>
    <dxf>
      <numFmt numFmtId="13" formatCode="0%"/>
    </dxf>
    <dxf>
      <numFmt numFmtId="13" formatCode="0%"/>
    </dxf>
    <dxf>
      <font>
        <b/>
      </font>
    </dxf>
    <dxf>
      <alignment wrapText="1"/>
    </dxf>
    <dxf>
      <font>
        <b/>
      </font>
    </dxf>
    <dxf>
      <alignment horizontal="center"/>
    </dxf>
    <dxf>
      <alignment horizontal="center"/>
    </dxf>
    <dxf>
      <font>
        <b/>
      </font>
    </dxf>
    <dxf>
      <alignment horizontal="center"/>
    </dxf>
    <dxf>
      <alignment horizontal="center"/>
    </dxf>
    <dxf>
      <alignment horizontal="center"/>
    </dxf>
    <dxf>
      <font>
        <b/>
      </font>
    </dxf>
    <dxf>
      <alignment horizontal="center"/>
    </dxf>
    <dxf>
      <alignment horizontal="center"/>
    </dxf>
    <dxf>
      <numFmt numFmtId="173" formatCode="[$$-45C]#,##0.00"/>
    </dxf>
    <dxf>
      <numFmt numFmtId="173" formatCode="[$$-45C]#,##0.00"/>
    </dxf>
    <dxf>
      <numFmt numFmtId="4" formatCode="#,##0.00"/>
    </dxf>
    <dxf>
      <numFmt numFmtId="13" formatCode="0%"/>
    </dxf>
    <dxf>
      <numFmt numFmtId="13" formatCode="0%"/>
    </dxf>
    <dxf>
      <font>
        <b/>
      </font>
    </dxf>
    <dxf>
      <alignment wrapText="1"/>
    </dxf>
    <dxf>
      <font>
        <b/>
      </font>
    </dxf>
    <dxf>
      <alignment horizontal="center"/>
    </dxf>
    <dxf>
      <alignment horizontal="center"/>
    </dxf>
    <dxf>
      <font>
        <b/>
      </font>
    </dxf>
    <dxf>
      <alignment horizontal="center"/>
    </dxf>
    <dxf>
      <alignment horizontal="center"/>
    </dxf>
    <dxf>
      <alignment horizontal="center"/>
    </dxf>
    <dxf>
      <font>
        <b/>
      </font>
    </dxf>
    <dxf>
      <alignment horizontal="center"/>
    </dxf>
    <dxf>
      <alignment horizontal="center"/>
    </dxf>
    <dxf>
      <numFmt numFmtId="173" formatCode="[$$-45C]#,##0.00"/>
    </dxf>
    <dxf>
      <numFmt numFmtId="173" formatCode="[$$-45C]#,##0.00"/>
    </dxf>
    <dxf>
      <numFmt numFmtId="4" formatCode="#,##0.00"/>
    </dxf>
    <dxf>
      <numFmt numFmtId="13" formatCode="0%"/>
    </dxf>
    <dxf>
      <numFmt numFmtId="13" formatCode="0%"/>
    </dxf>
    <dxf>
      <font>
        <b/>
      </font>
    </dxf>
    <dxf>
      <alignment wrapText="1"/>
    </dxf>
    <dxf>
      <font>
        <b/>
      </font>
    </dxf>
    <dxf>
      <alignment wrapText="1"/>
    </dxf>
    <dxf>
      <font>
        <b/>
      </font>
    </dxf>
    <dxf>
      <alignment wrapText="1"/>
    </dxf>
    <dxf>
      <font>
        <b/>
      </font>
    </dxf>
    <dxf>
      <font>
        <b/>
      </font>
    </dxf>
    <dxf>
      <alignment wrapText="1"/>
    </dxf>
    <dxf>
      <font>
        <b/>
      </font>
    </dxf>
    <dxf>
      <font>
        <b/>
      </font>
    </dxf>
    <dxf>
      <font>
        <b/>
      </font>
    </dxf>
    <dxf>
      <numFmt numFmtId="13" formatCode="0%"/>
    </dxf>
    <dxf>
      <numFmt numFmtId="13" formatCode="0%"/>
    </dxf>
    <dxf>
      <numFmt numFmtId="4" formatCode="#,##0.00"/>
    </dxf>
    <dxf>
      <numFmt numFmtId="173" formatCode="[$$-45C]#,##0.00"/>
    </dxf>
    <dxf>
      <numFmt numFmtId="173" formatCode="[$$-45C]#,##0.00"/>
    </dxf>
    <dxf>
      <alignment horizontal="center"/>
    </dxf>
    <dxf>
      <alignment horizontal="center"/>
    </dxf>
    <dxf>
      <alignment horizontal="center"/>
    </dxf>
    <dxf>
      <alignment horizontal="center"/>
    </dxf>
    <dxf>
      <alignment horizontal="center"/>
    </dxf>
    <dxf>
      <alignment horizontal="center"/>
    </dxf>
    <dxf>
      <alignment horizontal="center"/>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pivotCacheDefinition" Target="pivotCache/pivotCacheDefinition6.xml"/><Relationship Id="rId39" Type="http://schemas.openxmlformats.org/officeDocument/2006/relationships/customXml" Target="../customXml/item3.xml"/><Relationship Id="rId21" Type="http://schemas.openxmlformats.org/officeDocument/2006/relationships/pivotCacheDefinition" Target="pivotCache/pivotCacheDefinition5.xml"/><Relationship Id="rId34" Type="http://schemas.openxmlformats.org/officeDocument/2006/relationships/sheetMetadata" Target="metadata.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Table" Target="pivotTables/pivotTable2.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5" Type="http://schemas.openxmlformats.org/officeDocument/2006/relationships/worksheet" Target="worksheets/sheet5.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pivotCacheDefinition" Target="pivotCache/pivotCacheDefinition7.xml"/><Relationship Id="rId30" Type="http://schemas.openxmlformats.org/officeDocument/2006/relationships/theme" Target="theme/theme1.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4.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20" Type="http://schemas.openxmlformats.org/officeDocument/2006/relationships/pivotCacheDefinition" Target="pivotCache/pivotCacheDefinition4.xml"/><Relationship Id="rId41" Type="http://schemas.openxmlformats.org/officeDocument/2006/relationships/customXml" Target="../customXml/item5.xml"/><Relationship Id="rId54"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pivotTable" Target="pivotTables/pivotTable1.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worksheet" Target="worksheets/sheet10.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 Id="rId60"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Top 5 Variances - Dec 2025</a:t>
            </a:r>
          </a:p>
        </c:rich>
      </c:tx>
      <c:overlay val="0"/>
    </c:title>
    <c:autoTitleDeleted val="0"/>
    <c:plotArea>
      <c:layout/>
      <c:barChart>
        <c:barDir val="col"/>
        <c:grouping val="clustered"/>
        <c:varyColors val="0"/>
        <c:ser>
          <c:idx val="0"/>
          <c:order val="0"/>
          <c:tx>
            <c:v>Budget</c:v>
          </c:tx>
          <c:invertIfNegative val="0"/>
          <c:cat>
            <c:strLit>
              <c:ptCount val="5"/>
              <c:pt idx="0">
                <c:v>Regulatory Fines</c:v>
              </c:pt>
              <c:pt idx="1">
                <c:v>IT Software/Licenses</c:v>
              </c:pt>
              <c:pt idx="2">
                <c:v>Training</c:v>
              </c:pt>
              <c:pt idx="3">
                <c:v>Utilities</c:v>
              </c:pt>
              <c:pt idx="4">
                <c:v>Outsourcing Fees</c:v>
              </c:pt>
            </c:strLit>
          </c:cat>
          <c:val>
            <c:numLit>
              <c:formatCode>General</c:formatCode>
              <c:ptCount val="5"/>
              <c:pt idx="0">
                <c:v>126130</c:v>
              </c:pt>
              <c:pt idx="1">
                <c:v>119968</c:v>
              </c:pt>
              <c:pt idx="2">
                <c:v>124655</c:v>
              </c:pt>
              <c:pt idx="3">
                <c:v>49723</c:v>
              </c:pt>
              <c:pt idx="4">
                <c:v>109922</c:v>
              </c:pt>
            </c:numLit>
          </c:val>
          <c:extLst>
            <c:ext xmlns:c16="http://schemas.microsoft.com/office/drawing/2014/chart" uri="{C3380CC4-5D6E-409C-BE32-E72D297353CC}">
              <c16:uniqueId val="{00000000-50DF-47E9-9319-5720548848B1}"/>
            </c:ext>
          </c:extLst>
        </c:ser>
        <c:ser>
          <c:idx val="1"/>
          <c:order val="1"/>
          <c:tx>
            <c:v>Actual</c:v>
          </c:tx>
          <c:invertIfNegative val="0"/>
          <c:cat>
            <c:strLit>
              <c:ptCount val="5"/>
              <c:pt idx="0">
                <c:v>Regulatory Fines</c:v>
              </c:pt>
              <c:pt idx="1">
                <c:v>IT Software/Licenses</c:v>
              </c:pt>
              <c:pt idx="2">
                <c:v>Training</c:v>
              </c:pt>
              <c:pt idx="3">
                <c:v>Utilities</c:v>
              </c:pt>
              <c:pt idx="4">
                <c:v>Outsourcing Fees</c:v>
              </c:pt>
            </c:strLit>
          </c:cat>
          <c:val>
            <c:numLit>
              <c:formatCode>General</c:formatCode>
              <c:ptCount val="5"/>
              <c:pt idx="0">
                <c:v>185559</c:v>
              </c:pt>
              <c:pt idx="1">
                <c:v>173988</c:v>
              </c:pt>
              <c:pt idx="2">
                <c:v>176117</c:v>
              </c:pt>
              <c:pt idx="3">
                <c:v>59892</c:v>
              </c:pt>
              <c:pt idx="4">
                <c:v>118815</c:v>
              </c:pt>
            </c:numLit>
          </c:val>
          <c:extLst>
            <c:ext xmlns:c16="http://schemas.microsoft.com/office/drawing/2014/chart" uri="{C3380CC4-5D6E-409C-BE32-E72D297353CC}">
              <c16:uniqueId val="{00000001-50DF-47E9-9319-5720548848B1}"/>
            </c:ext>
          </c:extLst>
        </c:ser>
        <c:ser>
          <c:idx val="2"/>
          <c:order val="2"/>
          <c:tx>
            <c:v>Variance ($)</c:v>
          </c:tx>
          <c:invertIfNegative val="0"/>
          <c:cat>
            <c:strLit>
              <c:ptCount val="5"/>
              <c:pt idx="0">
                <c:v>Regulatory Fines</c:v>
              </c:pt>
              <c:pt idx="1">
                <c:v>IT Software/Licenses</c:v>
              </c:pt>
              <c:pt idx="2">
                <c:v>Training</c:v>
              </c:pt>
              <c:pt idx="3">
                <c:v>Utilities</c:v>
              </c:pt>
              <c:pt idx="4">
                <c:v>Outsourcing Fees</c:v>
              </c:pt>
            </c:strLit>
          </c:cat>
          <c:val>
            <c:numLit>
              <c:formatCode>General</c:formatCode>
              <c:ptCount val="5"/>
              <c:pt idx="0">
                <c:v>59429</c:v>
              </c:pt>
              <c:pt idx="1">
                <c:v>54020</c:v>
              </c:pt>
              <c:pt idx="2">
                <c:v>51462</c:v>
              </c:pt>
              <c:pt idx="3">
                <c:v>10169</c:v>
              </c:pt>
              <c:pt idx="4">
                <c:v>8893</c:v>
              </c:pt>
            </c:numLit>
          </c:val>
          <c:extLst>
            <c:ext xmlns:c16="http://schemas.microsoft.com/office/drawing/2014/chart" uri="{C3380CC4-5D6E-409C-BE32-E72D297353CC}">
              <c16:uniqueId val="{00000002-50DF-47E9-9319-5720548848B1}"/>
            </c:ext>
          </c:extLst>
        </c:ser>
        <c:dLbls>
          <c:showLegendKey val="0"/>
          <c:showVal val="0"/>
          <c:showCatName val="0"/>
          <c:showSerName val="0"/>
          <c:showPercent val="0"/>
          <c:showBubbleSize val="0"/>
        </c:dLbls>
        <c:gapWidth val="150"/>
        <c:axId val="949285904"/>
        <c:axId val="949289744"/>
      </c:barChart>
      <c:catAx>
        <c:axId val="949285904"/>
        <c:scaling>
          <c:orientation val="minMax"/>
        </c:scaling>
        <c:delete val="0"/>
        <c:axPos val="b"/>
        <c:numFmt formatCode="General" sourceLinked="1"/>
        <c:majorTickMark val="out"/>
        <c:minorTickMark val="none"/>
        <c:tickLblPos val="nextTo"/>
        <c:crossAx val="949289744"/>
        <c:crosses val="autoZero"/>
        <c:auto val="1"/>
        <c:lblAlgn val="ctr"/>
        <c:lblOffset val="100"/>
        <c:noMultiLvlLbl val="0"/>
      </c:catAx>
      <c:valAx>
        <c:axId val="949289744"/>
        <c:scaling>
          <c:orientation val="minMax"/>
        </c:scaling>
        <c:delete val="0"/>
        <c:axPos val="l"/>
        <c:majorGridlines/>
        <c:numFmt formatCode="General" sourceLinked="1"/>
        <c:majorTickMark val="out"/>
        <c:minorTickMark val="none"/>
        <c:tickLblPos val="nextTo"/>
        <c:crossAx val="949285904"/>
        <c:crosses val="autoZero"/>
        <c:crossBetween val="between"/>
      </c:valAx>
    </c:plotArea>
    <c:legend>
      <c:legendPos val="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0"/>
              <c:pt idx="0">
                <c:v>Marketing</c:v>
              </c:pt>
              <c:pt idx="1">
                <c:v>IT Software/Licenses</c:v>
              </c:pt>
              <c:pt idx="2">
                <c:v>Outsourcing Fees</c:v>
              </c:pt>
              <c:pt idx="3">
                <c:v>Fraud Losses</c:v>
              </c:pt>
              <c:pt idx="4">
                <c:v>Regulatory Fines</c:v>
              </c:pt>
              <c:pt idx="5">
                <c:v>Travel &amp; Meetings</c:v>
              </c:pt>
              <c:pt idx="6">
                <c:v>Facilities Rent</c:v>
              </c:pt>
              <c:pt idx="7">
                <c:v>Training</c:v>
              </c:pt>
              <c:pt idx="8">
                <c:v>Utilities</c:v>
              </c:pt>
              <c:pt idx="9">
                <c:v>Salaries</c:v>
              </c:pt>
            </c:strLit>
          </c:cat>
          <c:val>
            <c:numLit>
              <c:formatCode>General</c:formatCode>
              <c:ptCount val="10"/>
              <c:pt idx="0">
                <c:v>261691</c:v>
              </c:pt>
              <c:pt idx="1">
                <c:v>190461</c:v>
              </c:pt>
              <c:pt idx="2">
                <c:v>130618</c:v>
              </c:pt>
              <c:pt idx="3">
                <c:v>109796</c:v>
              </c:pt>
              <c:pt idx="4">
                <c:v>104476</c:v>
              </c:pt>
              <c:pt idx="5">
                <c:v>104382</c:v>
              </c:pt>
              <c:pt idx="6">
                <c:v>64939</c:v>
              </c:pt>
              <c:pt idx="7">
                <c:v>51260</c:v>
              </c:pt>
              <c:pt idx="8">
                <c:v>43380</c:v>
              </c:pt>
              <c:pt idx="9">
                <c:v>-92111</c:v>
              </c:pt>
            </c:numLit>
          </c:val>
          <c:extLst>
            <c:ext xmlns:c16="http://schemas.microsoft.com/office/drawing/2014/chart" uri="{C3380CC4-5D6E-409C-BE32-E72D297353CC}">
              <c16:uniqueId val="{00000007-7363-4CDB-A7C7-50CFF219E503}"/>
            </c:ext>
          </c:extLst>
        </c:ser>
        <c:dLbls>
          <c:showLegendKey val="0"/>
          <c:showVal val="0"/>
          <c:showCatName val="0"/>
          <c:showSerName val="0"/>
          <c:showPercent val="0"/>
          <c:showBubbleSize val="0"/>
        </c:dLbls>
        <c:gapWidth val="219"/>
        <c:overlap val="-27"/>
        <c:axId val="917143968"/>
        <c:axId val="917147328"/>
      </c:barChart>
      <c:catAx>
        <c:axId val="917143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147328"/>
        <c:crosses val="autoZero"/>
        <c:auto val="1"/>
        <c:lblAlgn val="ctr"/>
        <c:lblOffset val="100"/>
        <c:noMultiLvlLbl val="0"/>
        <c:extLst>
          <c:ext xmlns:c15="http://schemas.microsoft.com/office/drawing/2012/chart" uri="{F40574EE-89B7-4290-83BB-5DA773EAF853}">
            <c15:numFmt c:formatCode="General" c:sourceLinked="1"/>
          </c:ext>
        </c:extLst>
      </c:catAx>
      <c:valAx>
        <c:axId val="917147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14396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[financial_demo.xlsm]PivotChartTable1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Sum of Actual</c:v>
          </c:tx>
          <c:spPr>
            <a:solidFill>
              <a:schemeClr val="accent1"/>
            </a:solidFill>
            <a:ln>
              <a:noFill/>
            </a:ln>
            <a:effectLst/>
          </c:spPr>
          <c:invertIfNegative val="0"/>
          <c:cat>
            <c:strLit>
              <c:ptCount val="10"/>
              <c:pt idx="0">
                <c:v>Facilities Rent</c:v>
              </c:pt>
              <c:pt idx="1">
                <c:v>Fraud Losses</c:v>
              </c:pt>
              <c:pt idx="2">
                <c:v>IT Software/Licenses</c:v>
              </c:pt>
              <c:pt idx="3">
                <c:v>Marketing</c:v>
              </c:pt>
              <c:pt idx="4">
                <c:v>Outsourcing Fees</c:v>
              </c:pt>
              <c:pt idx="5">
                <c:v>Regulatory Fines</c:v>
              </c:pt>
              <c:pt idx="6">
                <c:v>Salaries</c:v>
              </c:pt>
              <c:pt idx="7">
                <c:v>Training</c:v>
              </c:pt>
              <c:pt idx="8">
                <c:v>Travel &amp; Meetings</c:v>
              </c:pt>
              <c:pt idx="9">
                <c:v>Utilities</c:v>
              </c:pt>
            </c:strLit>
          </c:cat>
          <c:val>
            <c:numLit>
              <c:formatCode>General</c:formatCode>
              <c:ptCount val="10"/>
              <c:pt idx="0">
                <c:v>1041339</c:v>
              </c:pt>
              <c:pt idx="1">
                <c:v>1073219</c:v>
              </c:pt>
              <c:pt idx="2">
                <c:v>1574330</c:v>
              </c:pt>
              <c:pt idx="3">
                <c:v>1274127</c:v>
              </c:pt>
              <c:pt idx="4">
                <c:v>1206046</c:v>
              </c:pt>
              <c:pt idx="5">
                <c:v>1185850</c:v>
              </c:pt>
              <c:pt idx="6">
                <c:v>904108</c:v>
              </c:pt>
              <c:pt idx="7">
                <c:v>993694</c:v>
              </c:pt>
              <c:pt idx="8">
                <c:v>1045803</c:v>
              </c:pt>
              <c:pt idx="9">
                <c:v>869186</c:v>
              </c:pt>
            </c:numLit>
          </c:val>
          <c:extLst>
            <c:ext xmlns:c16="http://schemas.microsoft.com/office/drawing/2014/chart" uri="{C3380CC4-5D6E-409C-BE32-E72D297353CC}">
              <c16:uniqueId val="{00000000-2336-4540-A15F-E5E39A5BBC19}"/>
            </c:ext>
          </c:extLst>
        </c:ser>
        <c:ser>
          <c:idx val="1"/>
          <c:order val="1"/>
          <c:tx>
            <c:v>Rolling 3M Actual</c:v>
          </c:tx>
          <c:spPr>
            <a:solidFill>
              <a:schemeClr val="accent2"/>
            </a:solidFill>
            <a:ln>
              <a:noFill/>
            </a:ln>
            <a:effectLst/>
          </c:spPr>
          <c:invertIfNegative val="0"/>
          <c:cat>
            <c:strLit>
              <c:ptCount val="10"/>
              <c:pt idx="0">
                <c:v>Facilities Rent</c:v>
              </c:pt>
              <c:pt idx="1">
                <c:v>Fraud Losses</c:v>
              </c:pt>
              <c:pt idx="2">
                <c:v>IT Software/Licenses</c:v>
              </c:pt>
              <c:pt idx="3">
                <c:v>Marketing</c:v>
              </c:pt>
              <c:pt idx="4">
                <c:v>Outsourcing Fees</c:v>
              </c:pt>
              <c:pt idx="5">
                <c:v>Regulatory Fines</c:v>
              </c:pt>
              <c:pt idx="6">
                <c:v>Salaries</c:v>
              </c:pt>
              <c:pt idx="7">
                <c:v>Training</c:v>
              </c:pt>
              <c:pt idx="8">
                <c:v>Travel &amp; Meetings</c:v>
              </c:pt>
              <c:pt idx="9">
                <c:v>Utilities</c:v>
              </c:pt>
            </c:strLit>
          </c:cat>
          <c:val>
            <c:numLit>
              <c:formatCode>General</c:formatCode>
              <c:ptCount val="10"/>
              <c:pt idx="0">
                <c:v>187075</c:v>
              </c:pt>
              <c:pt idx="1">
                <c:v>188897</c:v>
              </c:pt>
              <c:pt idx="2">
                <c:v>452374</c:v>
              </c:pt>
              <c:pt idx="3">
                <c:v>231259</c:v>
              </c:pt>
              <c:pt idx="4">
                <c:v>377506</c:v>
              </c:pt>
              <c:pt idx="5">
                <c:v>531432</c:v>
              </c:pt>
              <c:pt idx="6">
                <c:v>221864</c:v>
              </c:pt>
              <c:pt idx="7">
                <c:v>356491</c:v>
              </c:pt>
              <c:pt idx="8">
                <c:v>349668</c:v>
              </c:pt>
              <c:pt idx="9">
                <c:v>196346</c:v>
              </c:pt>
            </c:numLit>
          </c:val>
          <c:extLst>
            <c:ext xmlns:c16="http://schemas.microsoft.com/office/drawing/2014/chart" uri="{C3380CC4-5D6E-409C-BE32-E72D297353CC}">
              <c16:uniqueId val="{00000006-2336-4540-A15F-E5E39A5BBC19}"/>
            </c:ext>
          </c:extLst>
        </c:ser>
        <c:dLbls>
          <c:showLegendKey val="0"/>
          <c:showVal val="0"/>
          <c:showCatName val="0"/>
          <c:showSerName val="0"/>
          <c:showPercent val="0"/>
          <c:showBubbleSize val="0"/>
        </c:dLbls>
        <c:gapWidth val="219"/>
        <c:overlap val="100"/>
        <c:axId val="1608850415"/>
        <c:axId val="1608848975"/>
      </c:barChart>
      <c:catAx>
        <c:axId val="160885041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848975"/>
        <c:crosses val="autoZero"/>
        <c:auto val="1"/>
        <c:lblAlgn val="ctr"/>
        <c:lblOffset val="100"/>
        <c:noMultiLvlLbl val="0"/>
        <c:extLst>
          <c:ext xmlns:c15="http://schemas.microsoft.com/office/drawing/2012/chart" uri="{F40574EE-89B7-4290-83BB-5DA773EAF853}">
            <c15:numFmt c:formatCode="General" c:sourceLinked="1"/>
          </c:ext>
        </c:extLst>
      </c:catAx>
      <c:valAx>
        <c:axId val="1608848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850415"/>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[financial_demo.xlsm]PivotChartTable2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876300</xdr:colOff>
          <xdr:row>0</xdr:row>
          <xdr:rowOff>175260</xdr:rowOff>
        </xdr:from>
        <xdr:to>
          <xdr:col>7</xdr:col>
          <xdr:colOff>2499360</xdr:colOff>
          <xdr:row>1</xdr:row>
          <xdr:rowOff>396240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Genrate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899160</xdr:colOff>
          <xdr:row>3</xdr:row>
          <xdr:rowOff>7620</xdr:rowOff>
        </xdr:from>
        <xdr:to>
          <xdr:col>7</xdr:col>
          <xdr:colOff>2484120</xdr:colOff>
          <xdr:row>5</xdr:row>
          <xdr:rowOff>7620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Download Report</a:t>
              </a:r>
            </a:p>
          </xdr:txBody>
        </xdr:sp>
        <xdr:clientData fPrintsWithSheet="0"/>
      </xdr:twoCellAnchor>
    </mc:Choice>
    <mc:Fallback/>
  </mc:AlternateContent>
  <xdr:twoCellAnchor>
    <xdr:from>
      <xdr:col>1</xdr:col>
      <xdr:colOff>1905</xdr:colOff>
      <xdr:row>26</xdr:row>
      <xdr:rowOff>36195</xdr:rowOff>
    </xdr:from>
    <xdr:to>
      <xdr:col>7</xdr:col>
      <xdr:colOff>4206240</xdr:colOff>
      <xdr:row>48</xdr:row>
      <xdr:rowOff>113030</xdr:rowOff>
    </xdr:to>
    <xdr:graphicFrame macro="">
      <xdr:nvGraphicFramePr>
        <xdr:cNvPr id="45" name="Chart 44">
          <a:extLst>
            <a:ext uri="{FF2B5EF4-FFF2-40B4-BE49-F238E27FC236}">
              <a16:creationId xmlns:a16="http://schemas.microsoft.com/office/drawing/2014/main" id="{7CE99D7D-50C7-2EBF-884C-5594EA4C4F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38</xdr:row>
      <xdr:rowOff>126683</xdr:rowOff>
    </xdr:from>
    <xdr:to>
      <xdr:col>22</xdr:col>
      <xdr:colOff>750570</xdr:colOff>
      <xdr:row>56</xdr:row>
      <xdr:rowOff>81916</xdr:rowOff>
    </xdr:to>
    <xdr:graphicFrame macro="">
      <xdr:nvGraphicFramePr>
        <xdr:cNvPr id="2" name="Chart 1">
          <a:extLst>
            <a:ext uri="{FF2B5EF4-FFF2-40B4-BE49-F238E27FC236}">
              <a16:creationId xmlns:a16="http://schemas.microsoft.com/office/drawing/2014/main" id="{84DD1E6F-015C-84FB-55C0-6FF013015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135255</xdr:colOff>
      <xdr:row>21</xdr:row>
      <xdr:rowOff>15240</xdr:rowOff>
    </xdr:from>
    <xdr:to>
      <xdr:col>16</xdr:col>
      <xdr:colOff>1005840</xdr:colOff>
      <xdr:row>34</xdr:row>
      <xdr:rowOff>129540</xdr:rowOff>
    </xdr:to>
    <mc:AlternateContent xmlns:mc="http://schemas.openxmlformats.org/markup-compatibility/2006">
      <mc:Choice xmlns:a14="http://schemas.microsoft.com/office/drawing/2010/main" Requires="a14">
        <xdr:graphicFrame macro="">
          <xdr:nvGraphicFramePr>
            <xdr:cNvPr id="3" name="Month">
              <a:extLst>
                <a:ext uri="{FF2B5EF4-FFF2-40B4-BE49-F238E27FC236}">
                  <a16:creationId xmlns:a16="http://schemas.microsoft.com/office/drawing/2014/main" id="{B6E1C4AC-3598-2372-A797-C19317F0720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327055" y="4874477"/>
              <a:ext cx="1830705" cy="25303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354330</xdr:colOff>
      <xdr:row>21</xdr:row>
      <xdr:rowOff>7620</xdr:rowOff>
    </xdr:from>
    <xdr:to>
      <xdr:col>19</xdr:col>
      <xdr:colOff>285348</xdr:colOff>
      <xdr:row>34</xdr:row>
      <xdr:rowOff>97155</xdr:rowOff>
    </xdr:to>
    <mc:AlternateContent xmlns:mc="http://schemas.openxmlformats.org/markup-compatibility/2006">
      <mc:Choice xmlns:a14="http://schemas.microsoft.com/office/drawing/2010/main" Requires="a14">
        <xdr:graphicFrame macro="">
          <xdr:nvGraphicFramePr>
            <xdr:cNvPr id="4" name="Overrun Flag2">
              <a:extLst>
                <a:ext uri="{FF2B5EF4-FFF2-40B4-BE49-F238E27FC236}">
                  <a16:creationId xmlns:a16="http://schemas.microsoft.com/office/drawing/2014/main" id="{17F4615B-A885-367B-5615-1078448443B3}"/>
                </a:ext>
              </a:extLst>
            </xdr:cNvPr>
            <xdr:cNvGraphicFramePr/>
          </xdr:nvGraphicFramePr>
          <xdr:xfrm>
            <a:off x="0" y="0"/>
            <a:ext cx="0" cy="0"/>
          </xdr:xfrm>
          <a:graphic>
            <a:graphicData uri="http://schemas.microsoft.com/office/drawing/2010/slicer">
              <sle:slicer xmlns:sle="http://schemas.microsoft.com/office/drawing/2010/slicer" name="Overrun Flag2"/>
            </a:graphicData>
          </a:graphic>
        </xdr:graphicFrame>
      </mc:Choice>
      <mc:Fallback>
        <xdr:sp macro="" textlink="">
          <xdr:nvSpPr>
            <xdr:cNvPr id="0" name=""/>
            <xdr:cNvSpPr>
              <a:spLocks noTextEdit="1"/>
            </xdr:cNvSpPr>
          </xdr:nvSpPr>
          <xdr:spPr>
            <a:xfrm>
              <a:off x="15545172" y="4864952"/>
              <a:ext cx="1819291" cy="24999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459105</xdr:colOff>
      <xdr:row>20</xdr:row>
      <xdr:rowOff>171450</xdr:rowOff>
    </xdr:from>
    <xdr:to>
      <xdr:col>21</xdr:col>
      <xdr:colOff>72390</xdr:colOff>
      <xdr:row>34</xdr:row>
      <xdr:rowOff>133350</xdr:rowOff>
    </xdr:to>
    <mc:AlternateContent xmlns:mc="http://schemas.openxmlformats.org/markup-compatibility/2006">
      <mc:Choice xmlns:a14="http://schemas.microsoft.com/office/drawing/2010/main" Requires="a14">
        <xdr:graphicFrame macro="">
          <xdr:nvGraphicFramePr>
            <xdr:cNvPr id="5" name="High Variance Flag2">
              <a:extLst>
                <a:ext uri="{FF2B5EF4-FFF2-40B4-BE49-F238E27FC236}">
                  <a16:creationId xmlns:a16="http://schemas.microsoft.com/office/drawing/2014/main" id="{DA3A0F70-BBE5-FE90-C039-B09DC50A5C92}"/>
                </a:ext>
              </a:extLst>
            </xdr:cNvPr>
            <xdr:cNvGraphicFramePr/>
          </xdr:nvGraphicFramePr>
          <xdr:xfrm>
            <a:off x="0" y="0"/>
            <a:ext cx="0" cy="0"/>
          </xdr:xfrm>
          <a:graphic>
            <a:graphicData uri="http://schemas.microsoft.com/office/drawing/2010/slicer">
              <sle:slicer xmlns:sle="http://schemas.microsoft.com/office/drawing/2010/slicer" name="High Variance Flag2"/>
            </a:graphicData>
          </a:graphic>
        </xdr:graphicFrame>
      </mc:Choice>
      <mc:Fallback>
        <xdr:sp macro="" textlink="">
          <xdr:nvSpPr>
            <xdr:cNvPr id="0" name=""/>
            <xdr:cNvSpPr>
              <a:spLocks noTextEdit="1"/>
            </xdr:cNvSpPr>
          </xdr:nvSpPr>
          <xdr:spPr>
            <a:xfrm>
              <a:off x="17534410" y="4837213"/>
              <a:ext cx="1843529" cy="2563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630555</xdr:colOff>
      <xdr:row>20</xdr:row>
      <xdr:rowOff>173355</xdr:rowOff>
    </xdr:from>
    <xdr:to>
      <xdr:col>23</xdr:col>
      <xdr:colOff>249555</xdr:colOff>
      <xdr:row>34</xdr:row>
      <xdr:rowOff>133350</xdr:rowOff>
    </xdr:to>
    <mc:AlternateContent xmlns:mc="http://schemas.openxmlformats.org/markup-compatibility/2006">
      <mc:Choice xmlns:a14="http://schemas.microsoft.com/office/drawing/2010/main" Requires="a14">
        <xdr:graphicFrame macro="">
          <xdr:nvGraphicFramePr>
            <xdr:cNvPr id="6" name="Expense Item/Account">
              <a:extLst>
                <a:ext uri="{FF2B5EF4-FFF2-40B4-BE49-F238E27FC236}">
                  <a16:creationId xmlns:a16="http://schemas.microsoft.com/office/drawing/2014/main" id="{6725BB47-BA94-1208-14E8-83F0499440D4}"/>
                </a:ext>
              </a:extLst>
            </xdr:cNvPr>
            <xdr:cNvGraphicFramePr/>
          </xdr:nvGraphicFramePr>
          <xdr:xfrm>
            <a:off x="0" y="0"/>
            <a:ext cx="0" cy="0"/>
          </xdr:xfrm>
          <a:graphic>
            <a:graphicData uri="http://schemas.microsoft.com/office/drawing/2010/slicer">
              <sle:slicer xmlns:sle="http://schemas.microsoft.com/office/drawing/2010/slicer" name="Expense Item/Account"/>
            </a:graphicData>
          </a:graphic>
        </xdr:graphicFrame>
      </mc:Choice>
      <mc:Fallback>
        <xdr:sp macro="" textlink="">
          <xdr:nvSpPr>
            <xdr:cNvPr id="0" name=""/>
            <xdr:cNvSpPr>
              <a:spLocks noTextEdit="1"/>
            </xdr:cNvSpPr>
          </xdr:nvSpPr>
          <xdr:spPr>
            <a:xfrm>
              <a:off x="19932294" y="4839118"/>
              <a:ext cx="1849244" cy="25619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1903</xdr:colOff>
      <xdr:row>65</xdr:row>
      <xdr:rowOff>0</xdr:rowOff>
    </xdr:from>
    <xdr:to>
      <xdr:col>22</xdr:col>
      <xdr:colOff>847725</xdr:colOff>
      <xdr:row>84</xdr:row>
      <xdr:rowOff>1905</xdr:rowOff>
    </xdr:to>
    <xdr:graphicFrame macro="">
      <xdr:nvGraphicFramePr>
        <xdr:cNvPr id="7" name="Chart 6">
          <a:extLst>
            <a:ext uri="{FF2B5EF4-FFF2-40B4-BE49-F238E27FC236}">
              <a16:creationId xmlns:a16="http://schemas.microsoft.com/office/drawing/2014/main" id="{14D1E270-EEC5-821E-B84D-C09D8F0E05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96.52236412037" backgroundQuery="1" createdVersion="8" refreshedVersion="8" minRefreshableVersion="3" recordCount="0" supportSubquery="1" supportAdvancedDrill="1" xr:uid="{53605091-3246-432C-B76E-AAC6DF5C7403}">
  <cacheSource type="external" connectionId="1"/>
  <cacheFields count="3">
    <cacheField name="[tblFinanceData].[Expense Item/Account].[Expense Item/Account]" caption="Expense Item/Account" numFmtId="0" hierarchy="1" level="1">
      <sharedItems count="10">
        <s v="Facilities Rent"/>
        <s v="Fraud Losses"/>
        <s v="IT Software/Licenses"/>
        <s v="Marketing"/>
        <s v="Outsourcing Fees"/>
        <s v="Regulatory Fines"/>
        <s v="Salaries"/>
        <s v="Training"/>
        <s v="Travel &amp; Meetings"/>
        <s v="Utilities"/>
      </sharedItems>
      <extLst>
        <ext xmlns:x15="http://schemas.microsoft.com/office/spreadsheetml/2010/11/main" uri="{4F2E5C28-24EA-4eb8-9CBF-B6C8F9C3D259}">
          <x15:cachedUniqueNames>
            <x15:cachedUniqueName index="0" name="[tblFinanceData].[Expense Item/Account].&amp;[Facilities Rent]"/>
            <x15:cachedUniqueName index="1" name="[tblFinanceData].[Expense Item/Account].&amp;[Fraud Losses]"/>
            <x15:cachedUniqueName index="2" name="[tblFinanceData].[Expense Item/Account].&amp;[IT Software/Licenses]"/>
            <x15:cachedUniqueName index="3" name="[tblFinanceData].[Expense Item/Account].&amp;[Marketing]"/>
            <x15:cachedUniqueName index="4" name="[tblFinanceData].[Expense Item/Account].&amp;[Outsourcing Fees]"/>
            <x15:cachedUniqueName index="5" name="[tblFinanceData].[Expense Item/Account].&amp;[Regulatory Fines]"/>
            <x15:cachedUniqueName index="6" name="[tblFinanceData].[Expense Item/Account].&amp;[Salaries]"/>
            <x15:cachedUniqueName index="7" name="[tblFinanceData].[Expense Item/Account].&amp;[Training]"/>
            <x15:cachedUniqueName index="8" name="[tblFinanceData].[Expense Item/Account].&amp;[Travel &amp; Meetings]"/>
            <x15:cachedUniqueName index="9" name="[tblFinanceData].[Expense Item/Account].&amp;[Utilities]"/>
          </x15:cachedUniqueNames>
        </ext>
      </extLst>
    </cacheField>
    <cacheField name="[tblFinanceData].[Comments/Explanation].[Comments/Explanation]" caption="Comments/Explanation" numFmtId="0" hierarchy="7" level="1">
      <sharedItems count="1">
        <s v="Significant overrun — investigate vendor invoices or one-time fines."/>
      </sharedItems>
      <extLst>
        <ext xmlns:x15="http://schemas.microsoft.com/office/spreadsheetml/2010/11/main" uri="{4F2E5C28-24EA-4eb8-9CBF-B6C8F9C3D259}">
          <x15:cachedUniqueNames>
            <x15:cachedUniqueName index="0" name="[tblFinanceData].[Comments/Explanation].&amp;[Significant overrun — investigate vendor invoices or one-time fines.]"/>
          </x15:cachedUniqueNames>
        </ext>
      </extLst>
    </cacheField>
    <cacheField name="[Measures].[Count of Month]" caption="Count of Month" numFmtId="0" hierarchy="33" level="32767"/>
  </cacheFields>
  <cacheHierarchies count="34">
    <cacheHierarchy uniqueName="[tblFinanceData].[Month]" caption="Month" attribute="1" time="1" defaultMemberUniqueName="[tblFinanceData].[Month].[All]" allUniqueName="[tblFinanceData].[Month].[All]" dimensionUniqueName="[tblFinanceData]" displayFolder="" count="2" memberValueDatatype="7" unbalanced="0"/>
    <cacheHierarchy uniqueName="[tblFinanceData].[Expense Item/Account]" caption="Expense Item/Account" attribute="1" defaultMemberUniqueName="[tblFinanceData].[Expense Item/Account].[All]" allUniqueName="[tblFinanceData].[Expense Item/Account].[All]" dimensionUniqueName="[tblFinanceData]" displayFolder="" count="2" memberValueDatatype="130" unbalanced="0">
      <fieldsUsage count="2">
        <fieldUsage x="-1"/>
        <fieldUsage x="0"/>
      </fieldsUsage>
    </cacheHierarchy>
    <cacheHierarchy uniqueName="[tblFinanceData].[Cost Center]" caption="Cost Center" attribute="1" defaultMemberUniqueName="[tblFinanceData].[Cost Center].[All]" allUniqueName="[tblFinanceData].[Cost Center].[All]" dimensionUniqueName="[tblFinanceData]" displayFolder="" count="0" memberValueDatatype="130" unbalanced="0"/>
    <cacheHierarchy uniqueName="[tblFinanceData].[Budget/Forecast]" caption="Budget/Forecast" attribute="1" defaultMemberUniqueName="[tblFinanceData].[Budget/Forecast].[All]" allUniqueName="[tblFinanceData].[Budget/Forecast].[All]" dimensionUniqueName="[tblFinanceData]" displayFolder="" count="0" memberValueDatatype="20" unbalanced="0"/>
    <cacheHierarchy uniqueName="[tblFinanceData].[Actual]" caption="Actual" attribute="1" defaultMemberUniqueName="[tblFinanceData].[Actual].[All]" allUniqueName="[tblFinanceData].[Actual].[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5" unbalanced="0"/>
    <cacheHierarchy uniqueName="[tblFinanceData].[Comments/Explanation]" caption="Comments/Explanation" attribute="1" defaultMemberUniqueName="[tblFinanceData].[Comments/Explanation].[All]" allUniqueName="[tblFinanceData].[Comments/Explanation].[All]" dimensionUniqueName="[tblFinanceData]" displayFolder="" count="2" memberValueDatatype="130" unbalanced="0">
      <fieldsUsage count="2">
        <fieldUsage x="-1"/>
        <fieldUsage x="1"/>
      </fieldsUsage>
    </cacheHierarchy>
    <cacheHierarchy uniqueName="[tblFinanceData].[Vendor]" caption="Vendor" attribute="1" defaultMemberUniqueName="[tblFinanceData].[Vendor].[All]" allUniqueName="[tblFinanceData].[Vendor].[All]" dimensionUniqueName="[tblFinanceData]" displayFolder="" count="0" memberValueDatatype="130" unbalanced="0"/>
    <cacheHierarchy uniqueName="[tblFinanceData].[Activity]" caption="Activity" attribute="1" defaultMemberUniqueName="[tblFinanceData].[Activity].[All]" allUniqueName="[tblFinanceData].[Activity].[All]" dimensionUniqueName="[tblFinanceData]" displayFolder="" count="0" memberValueDatatype="130" unbalanced="0"/>
    <cacheHierarchy uniqueName="[tblFinanceData].[Personnel Count]" caption="Personnel Count" attribute="1" defaultMemberUniqueName="[tblFinanceData].[Personnel Count].[All]" allUniqueName="[tblFinanceData].[Personnel Count].[All]" dimensionUniqueName="[tblFinanceData]" displayFolder="" count="0" memberValueDatatype="20" unbalanced="0"/>
    <cacheHierarchy uniqueName="[tblFinanceData].[ABC Cost]" caption="ABC Cost" attribute="1" defaultMemberUniqueName="[tblFinanceData].[ABC Cost].[All]" allUniqueName="[tblFinanceData].[ABC Cost].[All]" dimensionUniqueName="[tblFinanceData]" displayFolder="" count="0" memberValueDatatype="5" unbalanced="0"/>
    <cacheHierarchy uniqueName="[tblFinanceData].[Month (Month)]" caption="Month (Month)" attribute="1" defaultMemberUniqueName="[tblFinanceData].[Month (Month)].[All]" allUniqueName="[tblFinanceData].[Month (Month)].[All]" dimensionUniqueName="[tblFinanceData]" displayFolder="" count="0" memberValueDatatype="130" unbalanced="0"/>
    <cacheHierarchy uniqueName="[tblFinanceData].[Overrun Flag2]" caption="Overrun Flag2" attribute="1" defaultMemberUniqueName="[tblFinanceData].[Overrun Flag2].[All]" allUniqueName="[tblFinanceData].[Overrun Flag2].[All]" dimensionUniqueName="[tblFinanceData]" displayFolder="" count="2" memberValueDatatype="130" unbalanced="0"/>
    <cacheHierarchy uniqueName="[tblFinanceData].[High Variance Flag2]" caption="High Variance Flag2" attribute="1" defaultMemberUniqueName="[tblFinanceData].[High Variance Flag2].[All]" allUniqueName="[tblFinanceData].[High Variance Flag2].[All]" dimensionUniqueName="[tblFinanceData]" displayFolder="" count="2" memberValueDatatype="130" unbalanced="0"/>
    <cacheHierarchy uniqueName="[tblFinanceData].[Month (Month Index)]" caption="Month (Month Index)" attribute="1" defaultMemberUniqueName="[tblFinanceData].[Month (Month Index)].[All]" allUniqueName="[tblFinanceData].[Month (Month Index)].[All]" dimensionUniqueName="[tblFinanceData]" displayFolder="" count="0" memberValueDatatype="20" unbalanced="0" hidden="1"/>
    <cacheHierarchy uniqueName="[Measures].[Total Budget]" caption="Total Budget" measure="1" displayFolder="" measureGroup="tblFinanceData" count="0"/>
    <cacheHierarchy uniqueName="[Measures].[Total Actual]" caption="Total Actual" measure="1" displayFolder="" measureGroup="tblFinanceData" count="0"/>
    <cacheHierarchy uniqueName="[Measures].[Variance Amount]" caption="Variance Amount" measure="1" displayFolder="" measureGroup="tblFinanceData" count="0"/>
    <cacheHierarchy uniqueName="[Measures].[Variance %]" caption="Variance %" measure="1" displayFolder="" measureGroup="tblFinanceData" count="0"/>
    <cacheHierarchy uniqueName="[Measures].[Total ABC Cost]" caption="Total ABC Cost" measure="1" displayFolder="" measureGroup="tblFinanceData" count="0"/>
    <cacheHierarchy uniqueName="[Measures].[High Variance Flag]" caption="High Variance Flag" measure="1" displayFolder="" measureGroup="tblFinanceData" count="0"/>
    <cacheHierarchy uniqueName="[Measures].[Overrun Flag]" caption="Overrun Flag" measure="1" displayFolder="" measureGroup="tblFinanceData" count="0"/>
    <cacheHierarchy uniqueName="[Measures].[YTD Actual]" caption="YTD Actual" measure="1" displayFolder="" measureGroup="tblFinanceData" count="0"/>
    <cacheHierarchy uniqueName="[Measures].[Rolling 3M Actual]" caption="Rolling 3M Actual" measure="1" displayFolder="" measureGroup="tblFinanceData" count="0"/>
    <cacheHierarchy uniqueName="[Measures].[__XL_Count Table2]" caption="__XL_Count Table2" measure="1" displayFolder="" measureGroup="tblFinanceData" count="0" hidden="1"/>
    <cacheHierarchy uniqueName="[Measures].[__No measures defined]" caption="__No measures defined" measure="1" displayFolder="" count="0" hidden="1"/>
    <cacheHierarchy uniqueName="[Measures].[Sum of Budget/Forecast]" caption="Sum of Budget/Forecast" measure="1" displayFolder="" measureGroup="tblFinanceData" count="0" hidden="1">
      <extLst>
        <ext xmlns:x15="http://schemas.microsoft.com/office/spreadsheetml/2010/11/main" uri="{B97F6D7D-B522-45F9-BDA1-12C45D357490}">
          <x15:cacheHierarchy aggregatedColumn="3"/>
        </ext>
      </extLst>
    </cacheHierarchy>
    <cacheHierarchy uniqueName="[Measures].[Sum of Actual]" caption="Sum of Actual" measure="1" displayFolder="" measureGroup="tblFinanceData" count="0" hidden="1">
      <extLst>
        <ext xmlns:x15="http://schemas.microsoft.com/office/spreadsheetml/2010/11/main" uri="{B97F6D7D-B522-45F9-BDA1-12C45D357490}">
          <x15:cacheHierarchy aggregatedColumn="4"/>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5"/>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6"/>
        </ext>
      </extLst>
    </cacheHierarchy>
    <cacheHierarchy uniqueName="[Measures].[Sum of ABC Cost]" caption="Sum of ABC Cost" measure="1" displayFolder="" measureGroup="tblFinanceData" count="0" hidden="1">
      <extLst>
        <ext xmlns:x15="http://schemas.microsoft.com/office/spreadsheetml/2010/11/main" uri="{B97F6D7D-B522-45F9-BDA1-12C45D357490}">
          <x15:cacheHierarchy aggregatedColumn="11"/>
        </ext>
      </extLst>
    </cacheHierarchy>
    <cacheHierarchy uniqueName="[Measures].[Count of Comments/Explanation]" caption="Count of Comments/Explanation" measure="1" displayFolder="" measureGroup="tblFinanceData" count="0" hidden="1">
      <extLst>
        <ext xmlns:x15="http://schemas.microsoft.com/office/spreadsheetml/2010/11/main" uri="{B97F6D7D-B522-45F9-BDA1-12C45D357490}">
          <x15:cacheHierarchy aggregatedColumn="7"/>
        </ext>
      </extLst>
    </cacheHierarchy>
    <cacheHierarchy uniqueName="[Measures].[Count of Month]" caption="Count of Month" measure="1" displayFolder="" measureGroup="tblFinanceData"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blFinanceData" uniqueName="[tblFinanceData]" caption="tblFinanceData"/>
  </dimensions>
  <measureGroups count="1">
    <measureGroup name="tblFinanceData" caption="tblFinanc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96.52236516204" backgroundQuery="1" createdVersion="8" refreshedVersion="8" minRefreshableVersion="3" recordCount="0" supportSubquery="1" supportAdvancedDrill="1" xr:uid="{35B51E8F-8E90-417C-AC96-C4BC5DEF0C8E}">
  <cacheSource type="external" connectionId="1"/>
  <cacheFields count="7">
    <cacheField name="[tblFinanceData].[Expense Item/Account].[Expense Item/Account]" caption="Expense Item/Account" numFmtId="0" hierarchy="1" level="1">
      <sharedItems count="10">
        <s v="Facilities Rent"/>
        <s v="Fraud Losses"/>
        <s v="IT Software/Licenses"/>
        <s v="Marketing"/>
        <s v="Outsourcing Fees"/>
        <s v="Regulatory Fines"/>
        <s v="Salaries"/>
        <s v="Training"/>
        <s v="Travel &amp; Meetings"/>
        <s v="Utilities"/>
      </sharedItems>
      <extLst>
        <ext xmlns:x15="http://schemas.microsoft.com/office/spreadsheetml/2010/11/main" uri="{4F2E5C28-24EA-4eb8-9CBF-B6C8F9C3D259}">
          <x15:cachedUniqueNames>
            <x15:cachedUniqueName index="0" name="[tblFinanceData].[Expense Item/Account].&amp;[Facilities Rent]"/>
            <x15:cachedUniqueName index="1" name="[tblFinanceData].[Expense Item/Account].&amp;[Fraud Losses]"/>
            <x15:cachedUniqueName index="2" name="[tblFinanceData].[Expense Item/Account].&amp;[IT Software/Licenses]"/>
            <x15:cachedUniqueName index="3" name="[tblFinanceData].[Expense Item/Account].&amp;[Marketing]"/>
            <x15:cachedUniqueName index="4" name="[tblFinanceData].[Expense Item/Account].&amp;[Outsourcing Fees]"/>
            <x15:cachedUniqueName index="5" name="[tblFinanceData].[Expense Item/Account].&amp;[Regulatory Fines]"/>
            <x15:cachedUniqueName index="6" name="[tblFinanceData].[Expense Item/Account].&amp;[Salaries]"/>
            <x15:cachedUniqueName index="7" name="[tblFinanceData].[Expense Item/Account].&amp;[Training]"/>
            <x15:cachedUniqueName index="8" name="[tblFinanceData].[Expense Item/Account].&amp;[Travel &amp; Meetings]"/>
            <x15:cachedUniqueName index="9" name="[tblFinanceData].[Expense Item/Account].&amp;[Utilities]"/>
          </x15:cachedUniqueNames>
        </ext>
      </extLst>
    </cacheField>
    <cacheField name="[Measures].[Total Budget]" caption="Total Budget" numFmtId="0" hierarchy="16" level="32767"/>
    <cacheField name="[Measures].[Total Actual]" caption="Total Actual" numFmtId="0" hierarchy="17" level="32767"/>
    <cacheField name="[Measures].[Variance Amount]" caption="Variance Amount" numFmtId="0" hierarchy="18" level="32767"/>
    <cacheField name="[Measures].[Variance %]" caption="Variance %" numFmtId="0" hierarchy="19" level="32767"/>
    <cacheField name="[Measures].[Total ABC Cost]" caption="Total ABC Cost" numFmtId="0" hierarchy="20" level="32767"/>
    <cacheField name="[tblFinanceData].[Month (Month)].[Month (Month)]" caption="Month (Month)" numFmtId="0" hierarchy="12" level="1">
      <sharedItems containsSemiMixedTypes="0" containsNonDate="0" containsString="0"/>
    </cacheField>
  </cacheFields>
  <cacheHierarchies count="34">
    <cacheHierarchy uniqueName="[tblFinanceData].[Month]" caption="Month" attribute="1" time="1" defaultMemberUniqueName="[tblFinanceData].[Month].[All]" allUniqueName="[tblFinanceData].[Month].[All]" dimensionUniqueName="[tblFinanceData]" displayFolder="" count="2" memberValueDatatype="7" unbalanced="0"/>
    <cacheHierarchy uniqueName="[tblFinanceData].[Expense Item/Account]" caption="Expense Item/Account" attribute="1" defaultMemberUniqueName="[tblFinanceData].[Expense Item/Account].[All]" allUniqueName="[tblFinanceData].[Expense Item/Account].[All]" dimensionUniqueName="[tblFinanceData]" displayFolder="" count="2" memberValueDatatype="130" unbalanced="0">
      <fieldsUsage count="2">
        <fieldUsage x="-1"/>
        <fieldUsage x="0"/>
      </fieldsUsage>
    </cacheHierarchy>
    <cacheHierarchy uniqueName="[tblFinanceData].[Cost Center]" caption="Cost Center" attribute="1" defaultMemberUniqueName="[tblFinanceData].[Cost Center].[All]" allUniqueName="[tblFinanceData].[Cost Center].[All]" dimensionUniqueName="[tblFinanceData]" displayFolder="" count="0" memberValueDatatype="130" unbalanced="0"/>
    <cacheHierarchy uniqueName="[tblFinanceData].[Budget/Forecast]" caption="Budget/Forecast" attribute="1" defaultMemberUniqueName="[tblFinanceData].[Budget/Forecast].[All]" allUniqueName="[tblFinanceData].[Budget/Forecast].[All]" dimensionUniqueName="[tblFinanceData]" displayFolder="" count="0" memberValueDatatype="20" unbalanced="0"/>
    <cacheHierarchy uniqueName="[tblFinanceData].[Actual]" caption="Actual" attribute="1" defaultMemberUniqueName="[tblFinanceData].[Actual].[All]" allUniqueName="[tblFinanceData].[Actual].[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5" unbalanced="0"/>
    <cacheHierarchy uniqueName="[tblFinanceData].[Comments/Explanation]" caption="Comments/Explanation" attribute="1" defaultMemberUniqueName="[tblFinanceData].[Comments/Explanation].[All]" allUniqueName="[tblFinanceData].[Comments/Explanation].[All]" dimensionUniqueName="[tblFinanceData]" displayFolder="" count="0" memberValueDatatype="130" unbalanced="0"/>
    <cacheHierarchy uniqueName="[tblFinanceData].[Vendor]" caption="Vendor" attribute="1" defaultMemberUniqueName="[tblFinanceData].[Vendor].[All]" allUniqueName="[tblFinanceData].[Vendor].[All]" dimensionUniqueName="[tblFinanceData]" displayFolder="" count="0" memberValueDatatype="130" unbalanced="0"/>
    <cacheHierarchy uniqueName="[tblFinanceData].[Activity]" caption="Activity" attribute="1" defaultMemberUniqueName="[tblFinanceData].[Activity].[All]" allUniqueName="[tblFinanceData].[Activity].[All]" dimensionUniqueName="[tblFinanceData]" displayFolder="" count="0" memberValueDatatype="130" unbalanced="0"/>
    <cacheHierarchy uniqueName="[tblFinanceData].[Personnel Count]" caption="Personnel Count" attribute="1" defaultMemberUniqueName="[tblFinanceData].[Personnel Count].[All]" allUniqueName="[tblFinanceData].[Personnel Count].[All]" dimensionUniqueName="[tblFinanceData]" displayFolder="" count="0" memberValueDatatype="20" unbalanced="0"/>
    <cacheHierarchy uniqueName="[tblFinanceData].[ABC Cost]" caption="ABC Cost" attribute="1" defaultMemberUniqueName="[tblFinanceData].[ABC Cost].[All]" allUniqueName="[tblFinanceData].[ABC Cost].[All]" dimensionUniqueName="[tblFinanceData]" displayFolder="" count="0" memberValueDatatype="5" unbalanced="0"/>
    <cacheHierarchy uniqueName="[tblFinanceData].[Month (Month)]" caption="Month (Month)" attribute="1" defaultMemberUniqueName="[tblFinanceData].[Month (Month)].[All]" allUniqueName="[tblFinanceData].[Month (Month)].[All]" dimensionUniqueName="[tblFinanceData]" displayFolder="" count="2" memberValueDatatype="130" unbalanced="0">
      <fieldsUsage count="2">
        <fieldUsage x="-1"/>
        <fieldUsage x="6"/>
      </fieldsUsage>
    </cacheHierarchy>
    <cacheHierarchy uniqueName="[tblFinanceData].[Overrun Flag2]" caption="Overrun Flag2" attribute="1" defaultMemberUniqueName="[tblFinanceData].[Overrun Flag2].[All]" allUniqueName="[tblFinanceData].[Overrun Flag2].[All]" dimensionUniqueName="[tblFinanceData]" displayFolder="" count="2" memberValueDatatype="130" unbalanced="0"/>
    <cacheHierarchy uniqueName="[tblFinanceData].[High Variance Flag2]" caption="High Variance Flag2" attribute="1" defaultMemberUniqueName="[tblFinanceData].[High Variance Flag2].[All]" allUniqueName="[tblFinanceData].[High Variance Flag2].[All]" dimensionUniqueName="[tblFinanceData]" displayFolder="" count="2" memberValueDatatype="130" unbalanced="0"/>
    <cacheHierarchy uniqueName="[tblFinanceData].[Month (Month Index)]" caption="Month (Month Index)" attribute="1" defaultMemberUniqueName="[tblFinanceData].[Month (Month Index)].[All]" allUniqueName="[tblFinanceData].[Month (Month Index)].[All]" dimensionUniqueName="[tblFinanceData]" displayFolder="" count="0" memberValueDatatype="20" unbalanced="0" hidden="1"/>
    <cacheHierarchy uniqueName="[Measures].[Total Budget]" caption="Total Budget" measure="1" displayFolder="" measureGroup="tblFinanceData" count="0" oneField="1">
      <fieldsUsage count="1">
        <fieldUsage x="1"/>
      </fieldsUsage>
    </cacheHierarchy>
    <cacheHierarchy uniqueName="[Measures].[Total Actual]" caption="Total Actual" measure="1" displayFolder="" measureGroup="tblFinanceData" count="0" oneField="1">
      <fieldsUsage count="1">
        <fieldUsage x="2"/>
      </fieldsUsage>
    </cacheHierarchy>
    <cacheHierarchy uniqueName="[Measures].[Variance Amount]" caption="Variance Amount" measure="1" displayFolder="" measureGroup="tblFinanceData" count="0" oneField="1">
      <fieldsUsage count="1">
        <fieldUsage x="3"/>
      </fieldsUsage>
    </cacheHierarchy>
    <cacheHierarchy uniqueName="[Measures].[Variance %]" caption="Variance %" measure="1" displayFolder="" measureGroup="tblFinanceData" count="0" oneField="1">
      <fieldsUsage count="1">
        <fieldUsage x="4"/>
      </fieldsUsage>
    </cacheHierarchy>
    <cacheHierarchy uniqueName="[Measures].[Total ABC Cost]" caption="Total ABC Cost" measure="1" displayFolder="" measureGroup="tblFinanceData" count="0" oneField="1">
      <fieldsUsage count="1">
        <fieldUsage x="5"/>
      </fieldsUsage>
    </cacheHierarchy>
    <cacheHierarchy uniqueName="[Measures].[High Variance Flag]" caption="High Variance Flag" measure="1" displayFolder="" measureGroup="tblFinanceData" count="0"/>
    <cacheHierarchy uniqueName="[Measures].[Overrun Flag]" caption="Overrun Flag" measure="1" displayFolder="" measureGroup="tblFinanceData" count="0"/>
    <cacheHierarchy uniqueName="[Measures].[YTD Actual]" caption="YTD Actual" measure="1" displayFolder="" measureGroup="tblFinanceData" count="0"/>
    <cacheHierarchy uniqueName="[Measures].[Rolling 3M Actual]" caption="Rolling 3M Actual" measure="1" displayFolder="" measureGroup="tblFinanceData" count="0"/>
    <cacheHierarchy uniqueName="[Measures].[__XL_Count Table2]" caption="__XL_Count Table2" measure="1" displayFolder="" measureGroup="tblFinanceData" count="0" hidden="1"/>
    <cacheHierarchy uniqueName="[Measures].[__No measures defined]" caption="__No measures defined" measure="1" displayFolder="" count="0" hidden="1"/>
    <cacheHierarchy uniqueName="[Measures].[Sum of Budget/Forecast]" caption="Sum of Budget/Forecast" measure="1" displayFolder="" measureGroup="tblFinanceData" count="0" hidden="1">
      <extLst>
        <ext xmlns:x15="http://schemas.microsoft.com/office/spreadsheetml/2010/11/main" uri="{B97F6D7D-B522-45F9-BDA1-12C45D357490}">
          <x15:cacheHierarchy aggregatedColumn="3"/>
        </ext>
      </extLst>
    </cacheHierarchy>
    <cacheHierarchy uniqueName="[Measures].[Sum of Actual]" caption="Sum of Actual" measure="1" displayFolder="" measureGroup="tblFinanceData" count="0" hidden="1">
      <extLst>
        <ext xmlns:x15="http://schemas.microsoft.com/office/spreadsheetml/2010/11/main" uri="{B97F6D7D-B522-45F9-BDA1-12C45D357490}">
          <x15:cacheHierarchy aggregatedColumn="4"/>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5"/>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6"/>
        </ext>
      </extLst>
    </cacheHierarchy>
    <cacheHierarchy uniqueName="[Measures].[Sum of ABC Cost]" caption="Sum of ABC Cost" measure="1" displayFolder="" measureGroup="tblFinanceData" count="0" hidden="1">
      <extLst>
        <ext xmlns:x15="http://schemas.microsoft.com/office/spreadsheetml/2010/11/main" uri="{B97F6D7D-B522-45F9-BDA1-12C45D357490}">
          <x15:cacheHierarchy aggregatedColumn="11"/>
        </ext>
      </extLst>
    </cacheHierarchy>
    <cacheHierarchy uniqueName="[Measures].[Count of Comments/Explanation]" caption="Count of Comments/Explanation" measure="1" displayFolder="" measureGroup="tblFinanceData" count="0" hidden="1">
      <extLst>
        <ext xmlns:x15="http://schemas.microsoft.com/office/spreadsheetml/2010/11/main" uri="{B97F6D7D-B522-45F9-BDA1-12C45D357490}">
          <x15:cacheHierarchy aggregatedColumn="7"/>
        </ext>
      </extLst>
    </cacheHierarchy>
    <cacheHierarchy uniqueName="[Measures].[Count of Month]" caption="Count of Month" measure="1" displayFolder="" measureGroup="tblFinance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blFinanceData" uniqueName="[tblFinanceData]" caption="tblFinanceData"/>
  </dimensions>
  <measureGroups count="1">
    <measureGroup name="tblFinanceData" caption="tblFinanc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96.522365856479" backgroundQuery="1" createdVersion="8" refreshedVersion="8" minRefreshableVersion="3" recordCount="0" supportSubquery="1" supportAdvancedDrill="1" xr:uid="{0BA76B26-A787-47F0-ACC1-732E7A67E2F0}">
  <cacheSource type="external" connectionId="1"/>
  <cacheFields count="3">
    <cacheField name="[tblFinanceData].[Expense Item/Account].[Expense Item/Account]" caption="Expense Item/Account" numFmtId="0" hierarchy="1" level="1">
      <sharedItems count="10">
        <s v="Facilities Rent"/>
        <s v="Fraud Losses"/>
        <s v="IT Software/Licenses"/>
        <s v="Marketing"/>
        <s v="Outsourcing Fees"/>
        <s v="Regulatory Fines"/>
        <s v="Salaries"/>
        <s v="Training"/>
        <s v="Travel &amp; Meetings"/>
        <s v="Utilities"/>
      </sharedItems>
      <extLst>
        <ext xmlns:x15="http://schemas.microsoft.com/office/spreadsheetml/2010/11/main" uri="{4F2E5C28-24EA-4eb8-9CBF-B6C8F9C3D259}">
          <x15:cachedUniqueNames>
            <x15:cachedUniqueName index="0" name="[tblFinanceData].[Expense Item/Account].&amp;[Facilities Rent]"/>
            <x15:cachedUniqueName index="1" name="[tblFinanceData].[Expense Item/Account].&amp;[Fraud Losses]"/>
            <x15:cachedUniqueName index="2" name="[tblFinanceData].[Expense Item/Account].&amp;[IT Software/Licenses]"/>
            <x15:cachedUniqueName index="3" name="[tblFinanceData].[Expense Item/Account].&amp;[Marketing]"/>
            <x15:cachedUniqueName index="4" name="[tblFinanceData].[Expense Item/Account].&amp;[Outsourcing Fees]"/>
            <x15:cachedUniqueName index="5" name="[tblFinanceData].[Expense Item/Account].&amp;[Regulatory Fines]"/>
            <x15:cachedUniqueName index="6" name="[tblFinanceData].[Expense Item/Account].&amp;[Salaries]"/>
            <x15:cachedUniqueName index="7" name="[tblFinanceData].[Expense Item/Account].&amp;[Training]"/>
            <x15:cachedUniqueName index="8" name="[tblFinanceData].[Expense Item/Account].&amp;[Travel &amp; Meetings]"/>
            <x15:cachedUniqueName index="9" name="[tblFinanceData].[Expense Item/Account].&amp;[Utilities]"/>
          </x15:cachedUniqueNames>
        </ext>
      </extLst>
    </cacheField>
    <cacheField name="[Measures].[Variance Amount]" caption="Variance Amount" numFmtId="0" hierarchy="18" level="32767"/>
    <cacheField name="[tblFinanceData].[Overrun Flag2].[Overrun Flag2]" caption="Overrun Flag2" numFmtId="0" hierarchy="13" level="1">
      <sharedItems count="2">
        <s v="Over Budget"/>
        <s v="Under Budget"/>
      </sharedItems>
      <extLst>
        <ext xmlns:x15="http://schemas.microsoft.com/office/spreadsheetml/2010/11/main" uri="{4F2E5C28-24EA-4eb8-9CBF-B6C8F9C3D259}">
          <x15:cachedUniqueNames>
            <x15:cachedUniqueName index="0" name="[tblFinanceData].[Overrun Flag2].&amp;[Over Budget]"/>
            <x15:cachedUniqueName index="1" name="[tblFinanceData].[Overrun Flag2].&amp;[Under Budget]"/>
          </x15:cachedUniqueNames>
        </ext>
      </extLst>
    </cacheField>
  </cacheFields>
  <cacheHierarchies count="34">
    <cacheHierarchy uniqueName="[tblFinanceData].[Month]" caption="Month" attribute="1" time="1" defaultMemberUniqueName="[tblFinanceData].[Month].[All]" allUniqueName="[tblFinanceData].[Month].[All]" dimensionUniqueName="[tblFinanceData]" displayFolder="" count="2" memberValueDatatype="7" unbalanced="0"/>
    <cacheHierarchy uniqueName="[tblFinanceData].[Expense Item/Account]" caption="Expense Item/Account" attribute="1" defaultMemberUniqueName="[tblFinanceData].[Expense Item/Account].[All]" allUniqueName="[tblFinanceData].[Expense Item/Account].[All]" dimensionUniqueName="[tblFinanceData]" displayFolder="" count="2" memberValueDatatype="130" unbalanced="0">
      <fieldsUsage count="2">
        <fieldUsage x="-1"/>
        <fieldUsage x="0"/>
      </fieldsUsage>
    </cacheHierarchy>
    <cacheHierarchy uniqueName="[tblFinanceData].[Cost Center]" caption="Cost Center" attribute="1" defaultMemberUniqueName="[tblFinanceData].[Cost Center].[All]" allUniqueName="[tblFinanceData].[Cost Center].[All]" dimensionUniqueName="[tblFinanceData]" displayFolder="" count="0" memberValueDatatype="130" unbalanced="0"/>
    <cacheHierarchy uniqueName="[tblFinanceData].[Budget/Forecast]" caption="Budget/Forecast" attribute="1" defaultMemberUniqueName="[tblFinanceData].[Budget/Forecast].[All]" allUniqueName="[tblFinanceData].[Budget/Forecast].[All]" dimensionUniqueName="[tblFinanceData]" displayFolder="" count="0" memberValueDatatype="20" unbalanced="0"/>
    <cacheHierarchy uniqueName="[tblFinanceData].[Actual]" caption="Actual" attribute="1" defaultMemberUniqueName="[tblFinanceData].[Actual].[All]" allUniqueName="[tblFinanceData].[Actual].[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5" unbalanced="0"/>
    <cacheHierarchy uniqueName="[tblFinanceData].[Comments/Explanation]" caption="Comments/Explanation" attribute="1" defaultMemberUniqueName="[tblFinanceData].[Comments/Explanation].[All]" allUniqueName="[tblFinanceData].[Comments/Explanation].[All]" dimensionUniqueName="[tblFinanceData]" displayFolder="" count="0" memberValueDatatype="130" unbalanced="0"/>
    <cacheHierarchy uniqueName="[tblFinanceData].[Vendor]" caption="Vendor" attribute="1" defaultMemberUniqueName="[tblFinanceData].[Vendor].[All]" allUniqueName="[tblFinanceData].[Vendor].[All]" dimensionUniqueName="[tblFinanceData]" displayFolder="" count="0" memberValueDatatype="130" unbalanced="0"/>
    <cacheHierarchy uniqueName="[tblFinanceData].[Activity]" caption="Activity" attribute="1" defaultMemberUniqueName="[tblFinanceData].[Activity].[All]" allUniqueName="[tblFinanceData].[Activity].[All]" dimensionUniqueName="[tblFinanceData]" displayFolder="" count="0" memberValueDatatype="130" unbalanced="0"/>
    <cacheHierarchy uniqueName="[tblFinanceData].[Personnel Count]" caption="Personnel Count" attribute="1" defaultMemberUniqueName="[tblFinanceData].[Personnel Count].[All]" allUniqueName="[tblFinanceData].[Personnel Count].[All]" dimensionUniqueName="[tblFinanceData]" displayFolder="" count="0" memberValueDatatype="20" unbalanced="0"/>
    <cacheHierarchy uniqueName="[tblFinanceData].[ABC Cost]" caption="ABC Cost" attribute="1" defaultMemberUniqueName="[tblFinanceData].[ABC Cost].[All]" allUniqueName="[tblFinanceData].[ABC Cost].[All]" dimensionUniqueName="[tblFinanceData]" displayFolder="" count="0" memberValueDatatype="5" unbalanced="0"/>
    <cacheHierarchy uniqueName="[tblFinanceData].[Month (Month)]" caption="Month (Month)" attribute="1" defaultMemberUniqueName="[tblFinanceData].[Month (Month)].[All]" allUniqueName="[tblFinanceData].[Month (Month)].[All]" dimensionUniqueName="[tblFinanceData]" displayFolder="" count="0" memberValueDatatype="130" unbalanced="0"/>
    <cacheHierarchy uniqueName="[tblFinanceData].[Overrun Flag2]" caption="Overrun Flag2" attribute="1" defaultMemberUniqueName="[tblFinanceData].[Overrun Flag2].[All]" allUniqueName="[tblFinanceData].[Overrun Flag2].[All]" dimensionUniqueName="[tblFinanceData]" displayFolder="" count="2" memberValueDatatype="130" unbalanced="0">
      <fieldsUsage count="2">
        <fieldUsage x="-1"/>
        <fieldUsage x="2"/>
      </fieldsUsage>
    </cacheHierarchy>
    <cacheHierarchy uniqueName="[tblFinanceData].[High Variance Flag2]" caption="High Variance Flag2" attribute="1" defaultMemberUniqueName="[tblFinanceData].[High Variance Flag2].[All]" allUniqueName="[tblFinanceData].[High Variance Flag2].[All]" dimensionUniqueName="[tblFinanceData]" displayFolder="" count="2" memberValueDatatype="130" unbalanced="0"/>
    <cacheHierarchy uniqueName="[tblFinanceData].[Month (Month Index)]" caption="Month (Month Index)" attribute="1" defaultMemberUniqueName="[tblFinanceData].[Month (Month Index)].[All]" allUniqueName="[tblFinanceData].[Month (Month Index)].[All]" dimensionUniqueName="[tblFinanceData]" displayFolder="" count="0" memberValueDatatype="20" unbalanced="0" hidden="1"/>
    <cacheHierarchy uniqueName="[Measures].[Total Budget]" caption="Total Budget" measure="1" displayFolder="" measureGroup="tblFinanceData" count="0"/>
    <cacheHierarchy uniqueName="[Measures].[Total Actual]" caption="Total Actual" measure="1" displayFolder="" measureGroup="tblFinanceData" count="0"/>
    <cacheHierarchy uniqueName="[Measures].[Variance Amount]" caption="Variance Amount" measure="1" displayFolder="" measureGroup="tblFinanceData" count="0" oneField="1">
      <fieldsUsage count="1">
        <fieldUsage x="1"/>
      </fieldsUsage>
    </cacheHierarchy>
    <cacheHierarchy uniqueName="[Measures].[Variance %]" caption="Variance %" measure="1" displayFolder="" measureGroup="tblFinanceData" count="0"/>
    <cacheHierarchy uniqueName="[Measures].[Total ABC Cost]" caption="Total ABC Cost" measure="1" displayFolder="" measureGroup="tblFinanceData" count="0"/>
    <cacheHierarchy uniqueName="[Measures].[High Variance Flag]" caption="High Variance Flag" measure="1" displayFolder="" measureGroup="tblFinanceData" count="0"/>
    <cacheHierarchy uniqueName="[Measures].[Overrun Flag]" caption="Overrun Flag" measure="1" displayFolder="" measureGroup="tblFinanceData" count="0"/>
    <cacheHierarchy uniqueName="[Measures].[YTD Actual]" caption="YTD Actual" measure="1" displayFolder="" measureGroup="tblFinanceData" count="0"/>
    <cacheHierarchy uniqueName="[Measures].[Rolling 3M Actual]" caption="Rolling 3M Actual" measure="1" displayFolder="" measureGroup="tblFinanceData" count="0"/>
    <cacheHierarchy uniqueName="[Measures].[__XL_Count Table2]" caption="__XL_Count Table2" measure="1" displayFolder="" measureGroup="tblFinanceData" count="0" hidden="1"/>
    <cacheHierarchy uniqueName="[Measures].[__No measures defined]" caption="__No measures defined" measure="1" displayFolder="" count="0" hidden="1"/>
    <cacheHierarchy uniqueName="[Measures].[Sum of Budget/Forecast]" caption="Sum of Budget/Forecast" measure="1" displayFolder="" measureGroup="tblFinanceData" count="0" hidden="1">
      <extLst>
        <ext xmlns:x15="http://schemas.microsoft.com/office/spreadsheetml/2010/11/main" uri="{B97F6D7D-B522-45F9-BDA1-12C45D357490}">
          <x15:cacheHierarchy aggregatedColumn="3"/>
        </ext>
      </extLst>
    </cacheHierarchy>
    <cacheHierarchy uniqueName="[Measures].[Sum of Actual]" caption="Sum of Actual" measure="1" displayFolder="" measureGroup="tblFinanceData" count="0" hidden="1">
      <extLst>
        <ext xmlns:x15="http://schemas.microsoft.com/office/spreadsheetml/2010/11/main" uri="{B97F6D7D-B522-45F9-BDA1-12C45D357490}">
          <x15:cacheHierarchy aggregatedColumn="4"/>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5"/>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6"/>
        </ext>
      </extLst>
    </cacheHierarchy>
    <cacheHierarchy uniqueName="[Measures].[Sum of ABC Cost]" caption="Sum of ABC Cost" measure="1" displayFolder="" measureGroup="tblFinanceData" count="0" hidden="1">
      <extLst>
        <ext xmlns:x15="http://schemas.microsoft.com/office/spreadsheetml/2010/11/main" uri="{B97F6D7D-B522-45F9-BDA1-12C45D357490}">
          <x15:cacheHierarchy aggregatedColumn="11"/>
        </ext>
      </extLst>
    </cacheHierarchy>
    <cacheHierarchy uniqueName="[Measures].[Count of Comments/Explanation]" caption="Count of Comments/Explanation" measure="1" displayFolder="" measureGroup="tblFinanceData" count="0" hidden="1">
      <extLst>
        <ext xmlns:x15="http://schemas.microsoft.com/office/spreadsheetml/2010/11/main" uri="{B97F6D7D-B522-45F9-BDA1-12C45D357490}">
          <x15:cacheHierarchy aggregatedColumn="7"/>
        </ext>
      </extLst>
    </cacheHierarchy>
    <cacheHierarchy uniqueName="[Measures].[Count of Month]" caption="Count of Month" measure="1" displayFolder="" measureGroup="tblFinance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blFinanceData" uniqueName="[tblFinanceData]" caption="tblFinanceData"/>
  </dimensions>
  <measureGroups count="1">
    <measureGroup name="tblFinanceData" caption="tblFinanc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96.522366435187" backgroundQuery="1" createdVersion="8" refreshedVersion="8" minRefreshableVersion="3" recordCount="0" supportSubquery="1" supportAdvancedDrill="1" xr:uid="{C96262DC-D91F-41C3-BB88-673168165193}">
  <cacheSource type="external" connectionId="1"/>
  <cacheFields count="2">
    <cacheField name="[tblFinanceData].[Expense Item/Account].[Expense Item/Account]" caption="Expense Item/Account" numFmtId="0" hierarchy="1" level="1">
      <sharedItems count="10">
        <s v="Facilities Rent"/>
        <s v="Fraud Losses"/>
        <s v="IT Software/Licenses"/>
        <s v="Marketing"/>
        <s v="Outsourcing Fees"/>
        <s v="Regulatory Fines"/>
        <s v="Salaries"/>
        <s v="Training"/>
        <s v="Travel &amp; Meetings"/>
        <s v="Utilities"/>
      </sharedItems>
      <extLst>
        <ext xmlns:x15="http://schemas.microsoft.com/office/spreadsheetml/2010/11/main" uri="{4F2E5C28-24EA-4eb8-9CBF-B6C8F9C3D259}">
          <x15:cachedUniqueNames>
            <x15:cachedUniqueName index="0" name="[tblFinanceData].[Expense Item/Account].&amp;[Facilities Rent]"/>
            <x15:cachedUniqueName index="1" name="[tblFinanceData].[Expense Item/Account].&amp;[Fraud Losses]"/>
            <x15:cachedUniqueName index="2" name="[tblFinanceData].[Expense Item/Account].&amp;[IT Software/Licenses]"/>
            <x15:cachedUniqueName index="3" name="[tblFinanceData].[Expense Item/Account].&amp;[Marketing]"/>
            <x15:cachedUniqueName index="4" name="[tblFinanceData].[Expense Item/Account].&amp;[Outsourcing Fees]"/>
            <x15:cachedUniqueName index="5" name="[tblFinanceData].[Expense Item/Account].&amp;[Regulatory Fines]"/>
            <x15:cachedUniqueName index="6" name="[tblFinanceData].[Expense Item/Account].&amp;[Salaries]"/>
            <x15:cachedUniqueName index="7" name="[tblFinanceData].[Expense Item/Account].&amp;[Training]"/>
            <x15:cachedUniqueName index="8" name="[tblFinanceData].[Expense Item/Account].&amp;[Travel &amp; Meetings]"/>
            <x15:cachedUniqueName index="9" name="[tblFinanceData].[Expense Item/Account].&amp;[Utilities]"/>
          </x15:cachedUniqueNames>
        </ext>
      </extLst>
    </cacheField>
    <cacheField name="[Measures].[Total ABC Cost]" caption="Total ABC Cost" numFmtId="0" hierarchy="20" level="32767"/>
  </cacheFields>
  <cacheHierarchies count="34">
    <cacheHierarchy uniqueName="[tblFinanceData].[Month]" caption="Month" attribute="1" time="1" defaultMemberUniqueName="[tblFinanceData].[Month].[All]" allUniqueName="[tblFinanceData].[Month].[All]" dimensionUniqueName="[tblFinanceData]" displayFolder="" count="2" memberValueDatatype="7" unbalanced="0"/>
    <cacheHierarchy uniqueName="[tblFinanceData].[Expense Item/Account]" caption="Expense Item/Account" attribute="1" defaultMemberUniqueName="[tblFinanceData].[Expense Item/Account].[All]" allUniqueName="[tblFinanceData].[Expense Item/Account].[All]" dimensionUniqueName="[tblFinanceData]" displayFolder="" count="2" memberValueDatatype="130" unbalanced="0">
      <fieldsUsage count="2">
        <fieldUsage x="-1"/>
        <fieldUsage x="0"/>
      </fieldsUsage>
    </cacheHierarchy>
    <cacheHierarchy uniqueName="[tblFinanceData].[Cost Center]" caption="Cost Center" attribute="1" defaultMemberUniqueName="[tblFinanceData].[Cost Center].[All]" allUniqueName="[tblFinanceData].[Cost Center].[All]" dimensionUniqueName="[tblFinanceData]" displayFolder="" count="0" memberValueDatatype="130" unbalanced="0"/>
    <cacheHierarchy uniqueName="[tblFinanceData].[Budget/Forecast]" caption="Budget/Forecast" attribute="1" defaultMemberUniqueName="[tblFinanceData].[Budget/Forecast].[All]" allUniqueName="[tblFinanceData].[Budget/Forecast].[All]" dimensionUniqueName="[tblFinanceData]" displayFolder="" count="0" memberValueDatatype="20" unbalanced="0"/>
    <cacheHierarchy uniqueName="[tblFinanceData].[Actual]" caption="Actual" attribute="1" defaultMemberUniqueName="[tblFinanceData].[Actual].[All]" allUniqueName="[tblFinanceData].[Actual].[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5" unbalanced="0"/>
    <cacheHierarchy uniqueName="[tblFinanceData].[Comments/Explanation]" caption="Comments/Explanation" attribute="1" defaultMemberUniqueName="[tblFinanceData].[Comments/Explanation].[All]" allUniqueName="[tblFinanceData].[Comments/Explanation].[All]" dimensionUniqueName="[tblFinanceData]" displayFolder="" count="0" memberValueDatatype="130" unbalanced="0"/>
    <cacheHierarchy uniqueName="[tblFinanceData].[Vendor]" caption="Vendor" attribute="1" defaultMemberUniqueName="[tblFinanceData].[Vendor].[All]" allUniqueName="[tblFinanceData].[Vendor].[All]" dimensionUniqueName="[tblFinanceData]" displayFolder="" count="0" memberValueDatatype="130" unbalanced="0"/>
    <cacheHierarchy uniqueName="[tblFinanceData].[Activity]" caption="Activity" attribute="1" defaultMemberUniqueName="[tblFinanceData].[Activity].[All]" allUniqueName="[tblFinanceData].[Activity].[All]" dimensionUniqueName="[tblFinanceData]" displayFolder="" count="0" memberValueDatatype="130" unbalanced="0"/>
    <cacheHierarchy uniqueName="[tblFinanceData].[Personnel Count]" caption="Personnel Count" attribute="1" defaultMemberUniqueName="[tblFinanceData].[Personnel Count].[All]" allUniqueName="[tblFinanceData].[Personnel Count].[All]" dimensionUniqueName="[tblFinanceData]" displayFolder="" count="0" memberValueDatatype="20" unbalanced="0"/>
    <cacheHierarchy uniqueName="[tblFinanceData].[ABC Cost]" caption="ABC Cost" attribute="1" defaultMemberUniqueName="[tblFinanceData].[ABC Cost].[All]" allUniqueName="[tblFinanceData].[ABC Cost].[All]" dimensionUniqueName="[tblFinanceData]" displayFolder="" count="0" memberValueDatatype="5" unbalanced="0"/>
    <cacheHierarchy uniqueName="[tblFinanceData].[Month (Month)]" caption="Month (Month)" attribute="1" defaultMemberUniqueName="[tblFinanceData].[Month (Month)].[All]" allUniqueName="[tblFinanceData].[Month (Month)].[All]" dimensionUniqueName="[tblFinanceData]" displayFolder="" count="0" memberValueDatatype="130" unbalanced="0"/>
    <cacheHierarchy uniqueName="[tblFinanceData].[Overrun Flag2]" caption="Overrun Flag2" attribute="1" defaultMemberUniqueName="[tblFinanceData].[Overrun Flag2].[All]" allUniqueName="[tblFinanceData].[Overrun Flag2].[All]" dimensionUniqueName="[tblFinanceData]" displayFolder="" count="2" memberValueDatatype="130" unbalanced="0"/>
    <cacheHierarchy uniqueName="[tblFinanceData].[High Variance Flag2]" caption="High Variance Flag2" attribute="1" defaultMemberUniqueName="[tblFinanceData].[High Variance Flag2].[All]" allUniqueName="[tblFinanceData].[High Variance Flag2].[All]" dimensionUniqueName="[tblFinanceData]" displayFolder="" count="2" memberValueDatatype="130" unbalanced="0"/>
    <cacheHierarchy uniqueName="[tblFinanceData].[Month (Month Index)]" caption="Month (Month Index)" attribute="1" defaultMemberUniqueName="[tblFinanceData].[Month (Month Index)].[All]" allUniqueName="[tblFinanceData].[Month (Month Index)].[All]" dimensionUniqueName="[tblFinanceData]" displayFolder="" count="0" memberValueDatatype="20" unbalanced="0" hidden="1"/>
    <cacheHierarchy uniqueName="[Measures].[Total Budget]" caption="Total Budget" measure="1" displayFolder="" measureGroup="tblFinanceData" count="0"/>
    <cacheHierarchy uniqueName="[Measures].[Total Actual]" caption="Total Actual" measure="1" displayFolder="" measureGroup="tblFinanceData" count="0"/>
    <cacheHierarchy uniqueName="[Measures].[Variance Amount]" caption="Variance Amount" measure="1" displayFolder="" measureGroup="tblFinanceData" count="0"/>
    <cacheHierarchy uniqueName="[Measures].[Variance %]" caption="Variance %" measure="1" displayFolder="" measureGroup="tblFinanceData" count="0"/>
    <cacheHierarchy uniqueName="[Measures].[Total ABC Cost]" caption="Total ABC Cost" measure="1" displayFolder="" measureGroup="tblFinanceData" count="0" oneField="1">
      <fieldsUsage count="1">
        <fieldUsage x="1"/>
      </fieldsUsage>
    </cacheHierarchy>
    <cacheHierarchy uniqueName="[Measures].[High Variance Flag]" caption="High Variance Flag" measure="1" displayFolder="" measureGroup="tblFinanceData" count="0"/>
    <cacheHierarchy uniqueName="[Measures].[Overrun Flag]" caption="Overrun Flag" measure="1" displayFolder="" measureGroup="tblFinanceData" count="0"/>
    <cacheHierarchy uniqueName="[Measures].[YTD Actual]" caption="YTD Actual" measure="1" displayFolder="" measureGroup="tblFinanceData" count="0"/>
    <cacheHierarchy uniqueName="[Measures].[Rolling 3M Actual]" caption="Rolling 3M Actual" measure="1" displayFolder="" measureGroup="tblFinanceData" count="0"/>
    <cacheHierarchy uniqueName="[Measures].[__XL_Count Table2]" caption="__XL_Count Table2" measure="1" displayFolder="" measureGroup="tblFinanceData" count="0" hidden="1"/>
    <cacheHierarchy uniqueName="[Measures].[__No measures defined]" caption="__No measures defined" measure="1" displayFolder="" count="0" hidden="1"/>
    <cacheHierarchy uniqueName="[Measures].[Sum of Budget/Forecast]" caption="Sum of Budget/Forecast" measure="1" displayFolder="" measureGroup="tblFinanceData" count="0" hidden="1">
      <extLst>
        <ext xmlns:x15="http://schemas.microsoft.com/office/spreadsheetml/2010/11/main" uri="{B97F6D7D-B522-45F9-BDA1-12C45D357490}">
          <x15:cacheHierarchy aggregatedColumn="3"/>
        </ext>
      </extLst>
    </cacheHierarchy>
    <cacheHierarchy uniqueName="[Measures].[Sum of Actual]" caption="Sum of Actual" measure="1" displayFolder="" measureGroup="tblFinanceData" count="0" hidden="1">
      <extLst>
        <ext xmlns:x15="http://schemas.microsoft.com/office/spreadsheetml/2010/11/main" uri="{B97F6D7D-B522-45F9-BDA1-12C45D357490}">
          <x15:cacheHierarchy aggregatedColumn="4"/>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5"/>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6"/>
        </ext>
      </extLst>
    </cacheHierarchy>
    <cacheHierarchy uniqueName="[Measures].[Sum of ABC Cost]" caption="Sum of ABC Cost" measure="1" displayFolder="" measureGroup="tblFinanceData" count="0" hidden="1">
      <extLst>
        <ext xmlns:x15="http://schemas.microsoft.com/office/spreadsheetml/2010/11/main" uri="{B97F6D7D-B522-45F9-BDA1-12C45D357490}">
          <x15:cacheHierarchy aggregatedColumn="11"/>
        </ext>
      </extLst>
    </cacheHierarchy>
    <cacheHierarchy uniqueName="[Measures].[Count of Comments/Explanation]" caption="Count of Comments/Explanation" measure="1" displayFolder="" measureGroup="tblFinanceData" count="0" hidden="1">
      <extLst>
        <ext xmlns:x15="http://schemas.microsoft.com/office/spreadsheetml/2010/11/main" uri="{B97F6D7D-B522-45F9-BDA1-12C45D357490}">
          <x15:cacheHierarchy aggregatedColumn="7"/>
        </ext>
      </extLst>
    </cacheHierarchy>
    <cacheHierarchy uniqueName="[Measures].[Count of Month]" caption="Count of Month" measure="1" displayFolder="" measureGroup="tblFinance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blFinanceData" uniqueName="[tblFinanceData]" caption="tblFinanceData"/>
  </dimensions>
  <measureGroups count="1">
    <measureGroup name="tblFinanceData" caption="tblFinanc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95.828215972222" backgroundQuery="1" createdVersion="3" refreshedVersion="8" minRefreshableVersion="3" recordCount="0" supportSubquery="1" supportAdvancedDrill="1" xr:uid="{B0563C56-616A-4A00-83A3-C7AEBA99CDFE}">
  <cacheSource type="external" connectionId="1">
    <extLst>
      <ext xmlns:x14="http://schemas.microsoft.com/office/spreadsheetml/2009/9/main" uri="{F057638F-6D5F-4e77-A914-E7F072B9BCA8}">
        <x14:sourceConnection name="ThisWorkbookDataModel"/>
      </ext>
    </extLst>
  </cacheSource>
  <cacheFields count="0"/>
  <cacheHierarchies count="33">
    <cacheHierarchy uniqueName="[Measures]" caption="Measures" attribute="1" keyAttribute="1" defaultMemberUniqueName="[Measures].[__No measures defined]" dimensionUniqueName="[Measures]" displayFolder="" measures="1" count="1" memberValueDatatype="130" unbalanced="0"/>
    <cacheHierarchy uniqueName="[tblFinanceData].[Month]" caption="Month" attribute="1" time="1" defaultMemberUniqueName="[tblFinanceData].[Month].[All]" allUniqueName="[tblFinanceData].[Month].[All]" dimensionUniqueName="[tblFinanceData]" displayFolder="" count="2" memberValueDatatype="7" unbalanced="0"/>
    <cacheHierarchy uniqueName="[tblFinanceData].[Expense Item/Account]" caption="Expense Item/Account" attribute="1" defaultMemberUniqueName="[tblFinanceData].[Expense Item/Account].[All]" allUniqueName="[tblFinanceData].[Expense Item/Account].[All]" dimensionUniqueName="[tblFinanceData]" displayFolder="" count="2" memberValueDatatype="130" unbalanced="0"/>
    <cacheHierarchy uniqueName="[tblFinanceData].[Cost Center]" caption="Cost Center" attribute="1" defaultMemberUniqueName="[tblFinanceData].[Cost Center].[All]" allUniqueName="[tblFinanceData].[Cost Center].[All]" dimensionUniqueName="[tblFinanceData]" displayFolder="" count="2" memberValueDatatype="130" unbalanced="0"/>
    <cacheHierarchy uniqueName="[tblFinanceData].[Budget/Forecast]" caption="Budget/Forecast" attribute="1" defaultMemberUniqueName="[tblFinanceData].[Budget/Forecast].[All]" allUniqueName="[tblFinanceData].[Budget/Forecast].[All]" dimensionUniqueName="[tblFinanceData]" displayFolder="" count="2" memberValueDatatype="20" unbalanced="0"/>
    <cacheHierarchy uniqueName="[tblFinanceData].[Actual]" caption="Actual" attribute="1" defaultMemberUniqueName="[tblFinanceData].[Actual].[All]" allUniqueName="[tblFinanceData].[Actual].[All]" dimensionUniqueName="[tblFinanceData]" displayFolder="" count="2" memberValueDatatype="20" unbalanced="0"/>
    <cacheHierarchy uniqueName="[tblFinanceData].[Variance ($)]" caption="Variance ($)" attribute="1" defaultMemberUniqueName="[tblFinanceData].[Variance ($)].[All]" allUniqueName="[tblFinanceData].[Variance ($)].[All]" dimensionUniqueName="[tblFinanceData]" displayFolder="" count="2" memberValueDatatype="20" unbalanced="0"/>
    <cacheHierarchy uniqueName="[tblFinanceData].[Variance (%)]" caption="Variance (%)" attribute="1" defaultMemberUniqueName="[tblFinanceData].[Variance (%)].[All]" allUniqueName="[tblFinanceData].[Variance (%)].[All]" dimensionUniqueName="[tblFinanceData]" displayFolder="" count="2" memberValueDatatype="5" unbalanced="0"/>
    <cacheHierarchy uniqueName="[tblFinanceData].[Comments/Explanation]" caption="Comments/Explanation" attribute="1" defaultMemberUniqueName="[tblFinanceData].[Comments/Explanation].[All]" allUniqueName="[tblFinanceData].[Comments/Explanation].[All]" dimensionUniqueName="[tblFinanceData]" displayFolder="" count="2" memberValueDatatype="130" unbalanced="0"/>
    <cacheHierarchy uniqueName="[tblFinanceData].[Vendor]" caption="Vendor" attribute="1" defaultMemberUniqueName="[tblFinanceData].[Vendor].[All]" allUniqueName="[tblFinanceData].[Vendor].[All]" dimensionUniqueName="[tblFinanceData]" displayFolder="" count="2" memberValueDatatype="130" unbalanced="0"/>
    <cacheHierarchy uniqueName="[tblFinanceData].[Activity]" caption="Activity" attribute="1" defaultMemberUniqueName="[tblFinanceData].[Activity].[All]" allUniqueName="[tblFinanceData].[Activity].[All]" dimensionUniqueName="[tblFinanceData]" displayFolder="" count="2" memberValueDatatype="130" unbalanced="0"/>
    <cacheHierarchy uniqueName="[tblFinanceData].[Personnel Count]" caption="Personnel Count" attribute="1" defaultMemberUniqueName="[tblFinanceData].[Personnel Count].[All]" allUniqueName="[tblFinanceData].[Personnel Count].[All]" dimensionUniqueName="[tblFinanceData]" displayFolder="" count="2" memberValueDatatype="20" unbalanced="0"/>
    <cacheHierarchy uniqueName="[tblFinanceData].[ABC Cost]" caption="ABC Cost" attribute="1" defaultMemberUniqueName="[tblFinanceData].[ABC Cost].[All]" allUniqueName="[tblFinanceData].[ABC Cost].[All]" dimensionUniqueName="[tblFinanceData]" displayFolder="" count="2" memberValueDatatype="5" unbalanced="0"/>
    <cacheHierarchy uniqueName="[tblFinanceData].[Month (Month)]" caption="Month (Month)" attribute="1" defaultMemberUniqueName="[tblFinanceData].[Month (Month)].[All]" allUniqueName="[tblFinanceData].[Month (Month)].[All]" dimensionUniqueName="[tblFinanceData]" displayFolder="" count="2" memberValueDatatype="130" unbalanced="0"/>
    <cacheHierarchy uniqueName="[tblFinanceData].[Overrun Flag2]" caption="Overrun Flag2" attribute="1" defaultMemberUniqueName="[tblFinanceData].[Overrun Flag2].[All]" allUniqueName="[tblFinanceData].[Overrun Flag2].[All]" dimensionUniqueName="[tblFinanceData]" displayFolder="" count="2" memberValueDatatype="130" unbalanced="0"/>
    <cacheHierarchy uniqueName="[tblFinanceData].[High Variance Flag2]" caption="High Variance Flag2" attribute="1" defaultMemberUniqueName="[tblFinanceData].[High Variance Flag2].[All]" allUniqueName="[tblFinanceData].[High Variance Flag2].[All]" dimensionUniqueName="[tblFinanceData]" displayFolder="" count="2" memberValueDatatype="130" unbalanced="0"/>
    <cacheHierarchy uniqueName="[tblFinanceData].[Month (Month Index)]" caption="Month (Month Index)" attribute="1" defaultMemberUniqueName="[tblFinanceData].[Month (Month Index)].[All]" allUniqueName="[tblFinanceData].[Month (Month Index)].[All]" dimensionUniqueName="[tblFinanceData]" displayFolder="" count="2" memberValueDatatype="20" unbalanced="0" hidden="1"/>
    <cacheHierarchy uniqueName="[Measures].[Sum of Budget/Forecast]" caption="Sum of Budget/Forecast" measure="1" displayFolder="" measureGroup="tblFinanceData" count="0">
      <extLst>
        <ext xmlns:x15="http://schemas.microsoft.com/office/spreadsheetml/2010/11/main" uri="{B97F6D7D-B522-45F9-BDA1-12C45D357490}">
          <x15:cacheHierarchy aggregatedColumn="4"/>
        </ext>
      </extLst>
    </cacheHierarchy>
    <cacheHierarchy uniqueName="[Measures].[Sum of Actual]" caption="Sum of Actual" measure="1" displayFolder="" measureGroup="tblFinanceData" count="0">
      <extLst>
        <ext xmlns:x15="http://schemas.microsoft.com/office/spreadsheetml/2010/11/main" uri="{B97F6D7D-B522-45F9-BDA1-12C45D357490}">
          <x15:cacheHierarchy aggregatedColumn="5"/>
        </ext>
      </extLst>
    </cacheHierarchy>
    <cacheHierarchy uniqueName="[Measures].[Sum of Variance ($)]" caption="Sum of Variance ($)" measure="1" displayFolder="" measureGroup="tblFinanceData" count="0">
      <extLst>
        <ext xmlns:x15="http://schemas.microsoft.com/office/spreadsheetml/2010/11/main" uri="{B97F6D7D-B522-45F9-BDA1-12C45D357490}">
          <x15:cacheHierarchy aggregatedColumn="6"/>
        </ext>
      </extLst>
    </cacheHierarchy>
    <cacheHierarchy uniqueName="[Measures].[Sum of Variance (%)]" caption="Sum of Variance (%)" measure="1" displayFolder="" measureGroup="tblFinanceData" count="0">
      <extLst>
        <ext xmlns:x15="http://schemas.microsoft.com/office/spreadsheetml/2010/11/main" uri="{B97F6D7D-B522-45F9-BDA1-12C45D357490}">
          <x15:cacheHierarchy aggregatedColumn="7"/>
        </ext>
      </extLst>
    </cacheHierarchy>
    <cacheHierarchy uniqueName="[Measures].[Sum of ABC Cost]" caption="Sum of ABC Cost" measure="1" displayFolder="" measureGroup="tblFinanceData" count="0">
      <extLst>
        <ext xmlns:x15="http://schemas.microsoft.com/office/spreadsheetml/2010/11/main" uri="{B97F6D7D-B522-45F9-BDA1-12C45D357490}">
          <x15:cacheHierarchy aggregatedColumn="12"/>
        </ext>
      </extLst>
    </cacheHierarchy>
    <cacheHierarchy uniqueName="[Measures].[Total Budget]" caption="Total Budget" measure="1" displayFolder="" measureGroup="tblFinanceData" count="0"/>
    <cacheHierarchy uniqueName="[Measures].[Total Actual]" caption="Total Actual" measure="1" displayFolder="" measureGroup="tblFinanceData" count="0"/>
    <cacheHierarchy uniqueName="[Measures].[Variance Amount]" caption="Variance Amount" measure="1" displayFolder="" measureGroup="tblFinanceData" count="0"/>
    <cacheHierarchy uniqueName="[Measures].[Variance %]" caption="Variance %" measure="1" displayFolder="" measureGroup="tblFinanceData" count="0"/>
    <cacheHierarchy uniqueName="[Measures].[Total ABC Cost]" caption="Total ABC Cost" measure="1" displayFolder="" measureGroup="tblFinanceData" count="0"/>
    <cacheHierarchy uniqueName="[Measures].[High Variance Flag]" caption="High Variance Flag" measure="1" displayFolder="" measureGroup="tblFinanceData" count="0"/>
    <cacheHierarchy uniqueName="[Measures].[Overrun Flag]" caption="Overrun Flag" measure="1" displayFolder="" measureGroup="tblFinanceData" count="0"/>
    <cacheHierarchy uniqueName="[Measures].[YTD Actual]" caption="YTD Actual" measure="1" displayFolder="" measureGroup="tblFinanceData" count="0"/>
    <cacheHierarchy uniqueName="[Measures].[Rolling 3M Actual]" caption="Rolling 3M Actual" measure="1" displayFolder="" measureGroup="tblFinanceData" count="0"/>
    <cacheHierarchy uniqueName="[Measures].[__XL_Count Table2]" caption="__XL_Count Table2" measure="1" displayFolder="" measureGroup="tblFinanceData" count="0" hidden="1"/>
    <cacheHierarchy uniqueName="[Measures].[__No measures defined]" caption="__No measures defined" measure="1" displayFolder="" count="0" hidden="1"/>
  </cacheHierarchies>
  <kpis count="0"/>
  <dimensions count="2">
    <dimension measure="1" name="Measures" uniqueName="[Measures]" caption="Measures"/>
    <dimension name="tblFinanceData" uniqueName="[tblFinanceData]" caption="tblFinanceData"/>
  </dimensions>
  <measureGroups count="1">
    <measureGroup name="tblFinanceData" caption="tblFinanceData"/>
  </measureGroups>
  <maps count="1">
    <map measureGroup="0" dimension="1"/>
  </maps>
  <extLst>
    <ext xmlns:x14="http://schemas.microsoft.com/office/spreadsheetml/2009/9/main" uri="{725AE2AE-9491-48be-B2B4-4EB974FC3084}">
      <x14:pivotCacheDefinition slicerData="1" pivotCacheId="13265019"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96.522364930555" backgroundQuery="1" createdVersion="8" refreshedVersion="8" minRefreshableVersion="3" recordCount="0" supportSubquery="1" supportAdvancedDrill="1" xr:uid="{094CA5DB-7BAD-4549-8B78-F16BFCAB557D}">
  <cacheSource type="external" connectionId="1">
    <extLst>
      <ext xmlns:x14="http://schemas.microsoft.com/office/spreadsheetml/2009/9/main" uri="{F057638F-6D5F-4e77-A914-E7F072B9BCA8}">
        <x14:sourceConnection name="ThisWorkbookDataModel"/>
      </ext>
    </extLst>
  </cacheSource>
  <cacheFields count="3">
    <cacheField name="[tblFinanceData].[Expense Item/Account].[Expense Item/Account]" caption="Expense Item/Account" numFmtId="0" hierarchy="1" level="1">
      <sharedItems count="10">
        <s v="Facilities Rent"/>
        <s v="Fraud Losses"/>
        <s v="IT Software/Licenses"/>
        <s v="Marketing"/>
        <s v="Outsourcing Fees"/>
        <s v="Regulatory Fines"/>
        <s v="Salaries"/>
        <s v="Training"/>
        <s v="Travel &amp; Meetings"/>
        <s v="Utilities"/>
      </sharedItems>
      <extLst>
        <ext xmlns:x15="http://schemas.microsoft.com/office/spreadsheetml/2010/11/main" uri="{4F2E5C28-24EA-4eb8-9CBF-B6C8F9C3D259}">
          <x15:cachedUniqueNames>
            <x15:cachedUniqueName index="0" name="[tblFinanceData].[Expense Item/Account].&amp;[Facilities Rent]"/>
            <x15:cachedUniqueName index="1" name="[tblFinanceData].[Expense Item/Account].&amp;[Fraud Losses]"/>
            <x15:cachedUniqueName index="2" name="[tblFinanceData].[Expense Item/Account].&amp;[IT Software/Licenses]"/>
            <x15:cachedUniqueName index="3" name="[tblFinanceData].[Expense Item/Account].&amp;[Marketing]"/>
            <x15:cachedUniqueName index="4" name="[tblFinanceData].[Expense Item/Account].&amp;[Outsourcing Fees]"/>
            <x15:cachedUniqueName index="5" name="[tblFinanceData].[Expense Item/Account].&amp;[Regulatory Fines]"/>
            <x15:cachedUniqueName index="6" name="[tblFinanceData].[Expense Item/Account].&amp;[Salaries]"/>
            <x15:cachedUniqueName index="7" name="[tblFinanceData].[Expense Item/Account].&amp;[Training]"/>
            <x15:cachedUniqueName index="8" name="[tblFinanceData].[Expense Item/Account].&amp;[Travel &amp; Meetings]"/>
            <x15:cachedUniqueName index="9" name="[tblFinanceData].[Expense Item/Account].&amp;[Utilities]"/>
          </x15:cachedUniqueNames>
        </ext>
      </extLst>
    </cacheField>
    <cacheField name="[Measures].[Variance Amount]" caption="Variance Amount" numFmtId="0" hierarchy="18" level="32767"/>
    <cacheField name="[tblFinanceData].[Overrun Flag2].[Overrun Flag2]" caption="Overrun Flag2" numFmtId="0" hierarchy="13" level="1">
      <sharedItems containsSemiMixedTypes="0" containsNonDate="0" containsString="0"/>
    </cacheField>
  </cacheFields>
  <cacheHierarchies count="34">
    <cacheHierarchy uniqueName="[tblFinanceData].[Month]" caption="Month" attribute="1" time="1" defaultMemberUniqueName="[tblFinanceData].[Month].[All]" allUniqueName="[tblFinanceData].[Month].[All]" dimensionUniqueName="[tblFinanceData]" displayFolder="" count="2" memberValueDatatype="7" unbalanced="0"/>
    <cacheHierarchy uniqueName="[tblFinanceData].[Expense Item/Account]" caption="Expense Item/Account" attribute="1" defaultMemberUniqueName="[tblFinanceData].[Expense Item/Account].[All]" allUniqueName="[tblFinanceData].[Expense Item/Account].[All]" dimensionUniqueName="[tblFinanceData]" displayFolder="" count="2" memberValueDatatype="130" unbalanced="0">
      <fieldsUsage count="2">
        <fieldUsage x="-1"/>
        <fieldUsage x="0"/>
      </fieldsUsage>
    </cacheHierarchy>
    <cacheHierarchy uniqueName="[tblFinanceData].[Cost Center]" caption="Cost Center" attribute="1" defaultMemberUniqueName="[tblFinanceData].[Cost Center].[All]" allUniqueName="[tblFinanceData].[Cost Center].[All]" dimensionUniqueName="[tblFinanceData]" displayFolder="" count="0" memberValueDatatype="130" unbalanced="0"/>
    <cacheHierarchy uniqueName="[tblFinanceData].[Budget/Forecast]" caption="Budget/Forecast" attribute="1" defaultMemberUniqueName="[tblFinanceData].[Budget/Forecast].[All]" allUniqueName="[tblFinanceData].[Budget/Forecast].[All]" dimensionUniqueName="[tblFinanceData]" displayFolder="" count="0" memberValueDatatype="20" unbalanced="0"/>
    <cacheHierarchy uniqueName="[tblFinanceData].[Actual]" caption="Actual" attribute="1" defaultMemberUniqueName="[tblFinanceData].[Actual].[All]" allUniqueName="[tblFinanceData].[Actual].[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5" unbalanced="0"/>
    <cacheHierarchy uniqueName="[tblFinanceData].[Comments/Explanation]" caption="Comments/Explanation" attribute="1" defaultMemberUniqueName="[tblFinanceData].[Comments/Explanation].[All]" allUniqueName="[tblFinanceData].[Comments/Explanation].[All]" dimensionUniqueName="[tblFinanceData]" displayFolder="" count="0" memberValueDatatype="130" unbalanced="0"/>
    <cacheHierarchy uniqueName="[tblFinanceData].[Vendor]" caption="Vendor" attribute="1" defaultMemberUniqueName="[tblFinanceData].[Vendor].[All]" allUniqueName="[tblFinanceData].[Vendor].[All]" dimensionUniqueName="[tblFinanceData]" displayFolder="" count="0" memberValueDatatype="130" unbalanced="0"/>
    <cacheHierarchy uniqueName="[tblFinanceData].[Activity]" caption="Activity" attribute="1" defaultMemberUniqueName="[tblFinanceData].[Activity].[All]" allUniqueName="[tblFinanceData].[Activity].[All]" dimensionUniqueName="[tblFinanceData]" displayFolder="" count="0" memberValueDatatype="130" unbalanced="0"/>
    <cacheHierarchy uniqueName="[tblFinanceData].[Personnel Count]" caption="Personnel Count" attribute="1" defaultMemberUniqueName="[tblFinanceData].[Personnel Count].[All]" allUniqueName="[tblFinanceData].[Personnel Count].[All]" dimensionUniqueName="[tblFinanceData]" displayFolder="" count="0" memberValueDatatype="20" unbalanced="0"/>
    <cacheHierarchy uniqueName="[tblFinanceData].[ABC Cost]" caption="ABC Cost" attribute="1" defaultMemberUniqueName="[tblFinanceData].[ABC Cost].[All]" allUniqueName="[tblFinanceData].[ABC Cost].[All]" dimensionUniqueName="[tblFinanceData]" displayFolder="" count="0" memberValueDatatype="5" unbalanced="0"/>
    <cacheHierarchy uniqueName="[tblFinanceData].[Month (Month)]" caption="Month (Month)" attribute="1" defaultMemberUniqueName="[tblFinanceData].[Month (Month)].[All]" allUniqueName="[tblFinanceData].[Month (Month)].[All]" dimensionUniqueName="[tblFinanceData]" displayFolder="" count="0" memberValueDatatype="130" unbalanced="0"/>
    <cacheHierarchy uniqueName="[tblFinanceData].[Overrun Flag2]" caption="Overrun Flag2" attribute="1" defaultMemberUniqueName="[tblFinanceData].[Overrun Flag2].[All]" allUniqueName="[tblFinanceData].[Overrun Flag2].[All]" dimensionUniqueName="[tblFinanceData]" displayFolder="" count="2" memberValueDatatype="130" unbalanced="0">
      <fieldsUsage count="2">
        <fieldUsage x="-1"/>
        <fieldUsage x="2"/>
      </fieldsUsage>
    </cacheHierarchy>
    <cacheHierarchy uniqueName="[tblFinanceData].[High Variance Flag2]" caption="High Variance Flag2" attribute="1" defaultMemberUniqueName="[tblFinanceData].[High Variance Flag2].[All]" allUniqueName="[tblFinanceData].[High Variance Flag2].[All]" dimensionUniqueName="[tblFinanceData]" displayFolder="" count="2" memberValueDatatype="130" unbalanced="0"/>
    <cacheHierarchy uniqueName="[tblFinanceData].[Month (Month Index)]" caption="Month (Month Index)" attribute="1" defaultMemberUniqueName="[tblFinanceData].[Month (Month Index)].[All]" allUniqueName="[tblFinanceData].[Month (Month Index)].[All]" dimensionUniqueName="[tblFinanceData]" displayFolder="" count="0" memberValueDatatype="20" unbalanced="0" hidden="1"/>
    <cacheHierarchy uniqueName="[Measures].[Total Budget]" caption="Total Budget" measure="1" displayFolder="" measureGroup="tblFinanceData" count="0"/>
    <cacheHierarchy uniqueName="[Measures].[Total Actual]" caption="Total Actual" measure="1" displayFolder="" measureGroup="tblFinanceData" count="0"/>
    <cacheHierarchy uniqueName="[Measures].[Variance Amount]" caption="Variance Amount" measure="1" displayFolder="" measureGroup="tblFinanceData" count="0" oneField="1">
      <fieldsUsage count="1">
        <fieldUsage x="1"/>
      </fieldsUsage>
    </cacheHierarchy>
    <cacheHierarchy uniqueName="[Measures].[Variance %]" caption="Variance %" measure="1" displayFolder="" measureGroup="tblFinanceData" count="0"/>
    <cacheHierarchy uniqueName="[Measures].[Total ABC Cost]" caption="Total ABC Cost" measure="1" displayFolder="" measureGroup="tblFinanceData" count="0"/>
    <cacheHierarchy uniqueName="[Measures].[High Variance Flag]" caption="High Variance Flag" measure="1" displayFolder="" measureGroup="tblFinanceData" count="0"/>
    <cacheHierarchy uniqueName="[Measures].[Overrun Flag]" caption="Overrun Flag" measure="1" displayFolder="" measureGroup="tblFinanceData" count="0"/>
    <cacheHierarchy uniqueName="[Measures].[YTD Actual]" caption="YTD Actual" measure="1" displayFolder="" measureGroup="tblFinanceData" count="0"/>
    <cacheHierarchy uniqueName="[Measures].[Rolling 3M Actual]" caption="Rolling 3M Actual" measure="1" displayFolder="" measureGroup="tblFinanceData" count="0"/>
    <cacheHierarchy uniqueName="[Measures].[__XL_Count Table2]" caption="__XL_Count Table2" measure="1" displayFolder="" measureGroup="tblFinanceData" count="0" hidden="1"/>
    <cacheHierarchy uniqueName="[Measures].[__No measures defined]" caption="__No measures defined" measure="1" displayFolder="" count="0" hidden="1"/>
    <cacheHierarchy uniqueName="[Measures].[Sum of Budget/Forecast]" caption="Sum of Budget/Forecast" measure="1" displayFolder="" measureGroup="tblFinanceData" count="0" hidden="1">
      <extLst>
        <ext xmlns:x15="http://schemas.microsoft.com/office/spreadsheetml/2010/11/main" uri="{B97F6D7D-B522-45F9-BDA1-12C45D357490}">
          <x15:cacheHierarchy aggregatedColumn="3"/>
        </ext>
      </extLst>
    </cacheHierarchy>
    <cacheHierarchy uniqueName="[Measures].[Sum of Actual]" caption="Sum of Actual" measure="1" displayFolder="" measureGroup="tblFinanceData" count="0" hidden="1">
      <extLst>
        <ext xmlns:x15="http://schemas.microsoft.com/office/spreadsheetml/2010/11/main" uri="{B97F6D7D-B522-45F9-BDA1-12C45D357490}">
          <x15:cacheHierarchy aggregatedColumn="4"/>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5"/>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6"/>
        </ext>
      </extLst>
    </cacheHierarchy>
    <cacheHierarchy uniqueName="[Measures].[Sum of ABC Cost]" caption="Sum of ABC Cost" measure="1" displayFolder="" measureGroup="tblFinanceData" count="0" hidden="1">
      <extLst>
        <ext xmlns:x15="http://schemas.microsoft.com/office/spreadsheetml/2010/11/main" uri="{B97F6D7D-B522-45F9-BDA1-12C45D357490}">
          <x15:cacheHierarchy aggregatedColumn="11"/>
        </ext>
      </extLst>
    </cacheHierarchy>
    <cacheHierarchy uniqueName="[Measures].[Count of Comments/Explanation]" caption="Count of Comments/Explanation" measure="1" displayFolder="" measureGroup="tblFinanceData" count="0" hidden="1">
      <extLst>
        <ext xmlns:x15="http://schemas.microsoft.com/office/spreadsheetml/2010/11/main" uri="{B97F6D7D-B522-45F9-BDA1-12C45D357490}">
          <x15:cacheHierarchy aggregatedColumn="7"/>
        </ext>
      </extLst>
    </cacheHierarchy>
    <cacheHierarchy uniqueName="[Measures].[Count of Month]" caption="Count of Month" measure="1" displayFolder="" measureGroup="tblFinance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blFinanceData" uniqueName="[tblFinanceData]" caption="tblFinanceData"/>
  </dimensions>
  <measureGroups count="1">
    <measureGroup name="tblFinanceData" caption="tblFinanceData"/>
  </measureGroups>
  <maps count="1">
    <map measureGroup="0" dimension="1"/>
  </maps>
  <extLst>
    <ext xmlns:x14="http://schemas.microsoft.com/office/spreadsheetml/2009/9/main" uri="{725AE2AE-9491-48be-B2B4-4EB974FC3084}">
      <x14:pivotCacheDefinition pivotCacheId="36082765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96.522367361111" backgroundQuery="1" createdVersion="8" refreshedVersion="8" minRefreshableVersion="3" recordCount="0" supportSubquery="1" supportAdvancedDrill="1" xr:uid="{C5B82519-DD00-4979-8D70-4EFCB499ADE0}">
  <cacheSource type="external" connectionId="1">
    <extLst>
      <ext xmlns:x14="http://schemas.microsoft.com/office/spreadsheetml/2009/9/main" uri="{F057638F-6D5F-4e77-A914-E7F072B9BCA8}">
        <x14:sourceConnection name="ThisWorkbookDataModel"/>
      </ext>
    </extLst>
  </cacheSource>
  <cacheFields count="4">
    <cacheField name="[Measures].[Rolling 3M Actual]" caption="Rolling 3M Actual" numFmtId="0" hierarchy="24" level="32767"/>
    <cacheField name="[tblFinanceData].[Expense Item/Account].[Expense Item/Account]" caption="Expense Item/Account" numFmtId="0" hierarchy="1" level="1">
      <sharedItems count="10">
        <s v="Facilities Rent"/>
        <s v="Fraud Losses"/>
        <s v="IT Software/Licenses"/>
        <s v="Marketing"/>
        <s v="Outsourcing Fees"/>
        <s v="Regulatory Fines"/>
        <s v="Salaries"/>
        <s v="Training"/>
        <s v="Travel &amp; Meetings"/>
        <s v="Utilities"/>
      </sharedItems>
      <extLst>
        <ext xmlns:x15="http://schemas.microsoft.com/office/spreadsheetml/2010/11/main" uri="{4F2E5C28-24EA-4eb8-9CBF-B6C8F9C3D259}">
          <x15:cachedUniqueNames>
            <x15:cachedUniqueName index="0" name="[tblFinanceData].[Expense Item/Account].&amp;[Facilities Rent]"/>
            <x15:cachedUniqueName index="1" name="[tblFinanceData].[Expense Item/Account].&amp;[Fraud Losses]"/>
            <x15:cachedUniqueName index="2" name="[tblFinanceData].[Expense Item/Account].&amp;[IT Software/Licenses]"/>
            <x15:cachedUniqueName index="3" name="[tblFinanceData].[Expense Item/Account].&amp;[Marketing]"/>
            <x15:cachedUniqueName index="4" name="[tblFinanceData].[Expense Item/Account].&amp;[Outsourcing Fees]"/>
            <x15:cachedUniqueName index="5" name="[tblFinanceData].[Expense Item/Account].&amp;[Regulatory Fines]"/>
            <x15:cachedUniqueName index="6" name="[tblFinanceData].[Expense Item/Account].&amp;[Salaries]"/>
            <x15:cachedUniqueName index="7" name="[tblFinanceData].[Expense Item/Account].&amp;[Training]"/>
            <x15:cachedUniqueName index="8" name="[tblFinanceData].[Expense Item/Account].&amp;[Travel &amp; Meetings]"/>
            <x15:cachedUniqueName index="9" name="[tblFinanceData].[Expense Item/Account].&amp;[Utilities]"/>
          </x15:cachedUniqueNames>
        </ext>
      </extLst>
    </cacheField>
    <cacheField name="[tblFinanceData].[Month].[Month]" caption="Month" numFmtId="0" level="1">
      <sharedItems containsSemiMixedTypes="0" containsNonDate="0" containsString="0"/>
    </cacheField>
    <cacheField name="[Measures].[Sum of Actual]" caption="Sum of Actual" numFmtId="0" hierarchy="28" level="32767"/>
  </cacheFields>
  <cacheHierarchies count="34">
    <cacheHierarchy uniqueName="[tblFinanceData].[Month]" caption="Month" attribute="1" time="1" defaultMemberUniqueName="[tblFinanceData].[Month].[All]" allUniqueName="[tblFinanceData].[Month].[All]" dimensionUniqueName="[tblFinanceData]" displayFolder="" count="2" memberValueDatatype="7" unbalanced="0">
      <fieldsUsage count="2">
        <fieldUsage x="-1"/>
        <fieldUsage x="2"/>
      </fieldsUsage>
    </cacheHierarchy>
    <cacheHierarchy uniqueName="[tblFinanceData].[Expense Item/Account]" caption="Expense Item/Account" attribute="1" defaultMemberUniqueName="[tblFinanceData].[Expense Item/Account].[All]" allUniqueName="[tblFinanceData].[Expense Item/Account].[All]" dimensionUniqueName="[tblFinanceData]" displayFolder="" count="2" memberValueDatatype="130" unbalanced="0">
      <fieldsUsage count="2">
        <fieldUsage x="-1"/>
        <fieldUsage x="1"/>
      </fieldsUsage>
    </cacheHierarchy>
    <cacheHierarchy uniqueName="[tblFinanceData].[Cost Center]" caption="Cost Center" attribute="1" defaultMemberUniqueName="[tblFinanceData].[Cost Center].[All]" allUniqueName="[tblFinanceData].[Cost Center].[All]" dimensionUniqueName="[tblFinanceData]" displayFolder="" count="0" memberValueDatatype="130" unbalanced="0"/>
    <cacheHierarchy uniqueName="[tblFinanceData].[Budget/Forecast]" caption="Budget/Forecast" attribute="1" defaultMemberUniqueName="[tblFinanceData].[Budget/Forecast].[All]" allUniqueName="[tblFinanceData].[Budget/Forecast].[All]" dimensionUniqueName="[tblFinanceData]" displayFolder="" count="0" memberValueDatatype="20" unbalanced="0"/>
    <cacheHierarchy uniqueName="[tblFinanceData].[Actual]" caption="Actual" attribute="1" defaultMemberUniqueName="[tblFinanceData].[Actual].[All]" allUniqueName="[tblFinanceData].[Actual].[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20" unbalanced="0"/>
    <cacheHierarchy uniqueName="[tblFinanceData].[Variance (%)]" caption="Variance (%)" attribute="1" defaultMemberUniqueName="[tblFinanceData].[Variance (%)].[All]" allUniqueName="[tblFinanceData].[Variance (%)].[All]" dimensionUniqueName="[tblFinanceData]" displayFolder="" count="0" memberValueDatatype="5" unbalanced="0"/>
    <cacheHierarchy uniqueName="[tblFinanceData].[Comments/Explanation]" caption="Comments/Explanation" attribute="1" defaultMemberUniqueName="[tblFinanceData].[Comments/Explanation].[All]" allUniqueName="[tblFinanceData].[Comments/Explanation].[All]" dimensionUniqueName="[tblFinanceData]" displayFolder="" count="0" memberValueDatatype="130" unbalanced="0"/>
    <cacheHierarchy uniqueName="[tblFinanceData].[Vendor]" caption="Vendor" attribute="1" defaultMemberUniqueName="[tblFinanceData].[Vendor].[All]" allUniqueName="[tblFinanceData].[Vendor].[All]" dimensionUniqueName="[tblFinanceData]" displayFolder="" count="0" memberValueDatatype="130" unbalanced="0"/>
    <cacheHierarchy uniqueName="[tblFinanceData].[Activity]" caption="Activity" attribute="1" defaultMemberUniqueName="[tblFinanceData].[Activity].[All]" allUniqueName="[tblFinanceData].[Activity].[All]" dimensionUniqueName="[tblFinanceData]" displayFolder="" count="0" memberValueDatatype="130" unbalanced="0"/>
    <cacheHierarchy uniqueName="[tblFinanceData].[Personnel Count]" caption="Personnel Count" attribute="1" defaultMemberUniqueName="[tblFinanceData].[Personnel Count].[All]" allUniqueName="[tblFinanceData].[Personnel Count].[All]" dimensionUniqueName="[tblFinanceData]" displayFolder="" count="0" memberValueDatatype="20" unbalanced="0"/>
    <cacheHierarchy uniqueName="[tblFinanceData].[ABC Cost]" caption="ABC Cost" attribute="1" defaultMemberUniqueName="[tblFinanceData].[ABC Cost].[All]" allUniqueName="[tblFinanceData].[ABC Cost].[All]" dimensionUniqueName="[tblFinanceData]" displayFolder="" count="0" memberValueDatatype="5" unbalanced="0"/>
    <cacheHierarchy uniqueName="[tblFinanceData].[Month (Month)]" caption="Month (Month)" attribute="1" defaultMemberUniqueName="[tblFinanceData].[Month (Month)].[All]" allUniqueName="[tblFinanceData].[Month (Month)].[All]" dimensionUniqueName="[tblFinanceData]" displayFolder="" count="0" memberValueDatatype="130" unbalanced="0"/>
    <cacheHierarchy uniqueName="[tblFinanceData].[Overrun Flag2]" caption="Overrun Flag2" attribute="1" defaultMemberUniqueName="[tblFinanceData].[Overrun Flag2].[All]" allUniqueName="[tblFinanceData].[Overrun Flag2].[All]" dimensionUniqueName="[tblFinanceData]" displayFolder="" count="2" memberValueDatatype="130" unbalanced="0"/>
    <cacheHierarchy uniqueName="[tblFinanceData].[High Variance Flag2]" caption="High Variance Flag2" attribute="1" defaultMemberUniqueName="[tblFinanceData].[High Variance Flag2].[All]" allUniqueName="[tblFinanceData].[High Variance Flag2].[All]" dimensionUniqueName="[tblFinanceData]" displayFolder="" count="2" memberValueDatatype="130" unbalanced="0"/>
    <cacheHierarchy uniqueName="[tblFinanceData].[Month (Month Index)]" caption="Month (Month Index)" attribute="1" defaultMemberUniqueName="[tblFinanceData].[Month (Month Index)].[All]" allUniqueName="[tblFinanceData].[Month (Month Index)].[All]" dimensionUniqueName="[tblFinanceData]" displayFolder="" count="0" memberValueDatatype="20" unbalanced="0" hidden="1"/>
    <cacheHierarchy uniqueName="[Measures].[Total Budget]" caption="Total Budget" measure="1" displayFolder="" measureGroup="tblFinanceData" count="0"/>
    <cacheHierarchy uniqueName="[Measures].[Total Actual]" caption="Total Actual" measure="1" displayFolder="" measureGroup="tblFinanceData" count="0"/>
    <cacheHierarchy uniqueName="[Measures].[Variance Amount]" caption="Variance Amount" measure="1" displayFolder="" measureGroup="tblFinanceData" count="0"/>
    <cacheHierarchy uniqueName="[Measures].[Variance %]" caption="Variance %" measure="1" displayFolder="" measureGroup="tblFinanceData" count="0"/>
    <cacheHierarchy uniqueName="[Measures].[Total ABC Cost]" caption="Total ABC Cost" measure="1" displayFolder="" measureGroup="tblFinanceData" count="0"/>
    <cacheHierarchy uniqueName="[Measures].[High Variance Flag]" caption="High Variance Flag" measure="1" displayFolder="" measureGroup="tblFinanceData" count="0"/>
    <cacheHierarchy uniqueName="[Measures].[Overrun Flag]" caption="Overrun Flag" measure="1" displayFolder="" measureGroup="tblFinanceData" count="0"/>
    <cacheHierarchy uniqueName="[Measures].[YTD Actual]" caption="YTD Actual" measure="1" displayFolder="" measureGroup="tblFinanceData" count="0"/>
    <cacheHierarchy uniqueName="[Measures].[Rolling 3M Actual]" caption="Rolling 3M Actual" measure="1" displayFolder="" measureGroup="tblFinanceData" count="0" oneField="1">
      <fieldsUsage count="1">
        <fieldUsage x="0"/>
      </fieldsUsage>
    </cacheHierarchy>
    <cacheHierarchy uniqueName="[Measures].[__XL_Count Table2]" caption="__XL_Count Table2" measure="1" displayFolder="" measureGroup="tblFinanceData" count="0" hidden="1"/>
    <cacheHierarchy uniqueName="[Measures].[__No measures defined]" caption="__No measures defined" measure="1" displayFolder="" count="0" hidden="1"/>
    <cacheHierarchy uniqueName="[Measures].[Sum of Budget/Forecast]" caption="Sum of Budget/Forecast" measure="1" displayFolder="" measureGroup="tblFinanceData" count="0" hidden="1">
      <extLst>
        <ext xmlns:x15="http://schemas.microsoft.com/office/spreadsheetml/2010/11/main" uri="{B97F6D7D-B522-45F9-BDA1-12C45D357490}">
          <x15:cacheHierarchy aggregatedColumn="3"/>
        </ext>
      </extLst>
    </cacheHierarchy>
    <cacheHierarchy uniqueName="[Measures].[Sum of Actual]" caption="Sum of Actual" measure="1" displayFolder="" measureGroup="tblFinanceData"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5"/>
        </ext>
      </extLst>
    </cacheHierarchy>
    <cacheHierarchy uniqueName="[Measures].[Sum of Variance (%)]" caption="Sum of Variance (%)" measure="1" displayFolder="" measureGroup="tblFinanceData" count="0" hidden="1">
      <extLst>
        <ext xmlns:x15="http://schemas.microsoft.com/office/spreadsheetml/2010/11/main" uri="{B97F6D7D-B522-45F9-BDA1-12C45D357490}">
          <x15:cacheHierarchy aggregatedColumn="6"/>
        </ext>
      </extLst>
    </cacheHierarchy>
    <cacheHierarchy uniqueName="[Measures].[Sum of ABC Cost]" caption="Sum of ABC Cost" measure="1" displayFolder="" measureGroup="tblFinanceData" count="0" hidden="1">
      <extLst>
        <ext xmlns:x15="http://schemas.microsoft.com/office/spreadsheetml/2010/11/main" uri="{B97F6D7D-B522-45F9-BDA1-12C45D357490}">
          <x15:cacheHierarchy aggregatedColumn="11"/>
        </ext>
      </extLst>
    </cacheHierarchy>
    <cacheHierarchy uniqueName="[Measures].[Count of Comments/Explanation]" caption="Count of Comments/Explanation" measure="1" displayFolder="" measureGroup="tblFinanceData" count="0" hidden="1">
      <extLst>
        <ext xmlns:x15="http://schemas.microsoft.com/office/spreadsheetml/2010/11/main" uri="{B97F6D7D-B522-45F9-BDA1-12C45D357490}">
          <x15:cacheHierarchy aggregatedColumn="7"/>
        </ext>
      </extLst>
    </cacheHierarchy>
    <cacheHierarchy uniqueName="[Measures].[Count of Month]" caption="Count of Month" measure="1" displayFolder="" measureGroup="tblFinanceData"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blFinanceData" uniqueName="[tblFinanceData]" caption="tblFinanceData"/>
  </dimensions>
  <measureGroups count="1">
    <measureGroup name="tblFinanceData" caption="tblFinanceData"/>
  </measureGroups>
  <maps count="1">
    <map measureGroup="0" dimension="1"/>
  </maps>
  <extLst>
    <ext xmlns:x14="http://schemas.microsoft.com/office/spreadsheetml/2009/9/main" uri="{725AE2AE-9491-48be-B2B4-4EB974FC3084}">
      <x14:pivotCacheDefinition pivotCacheId="6517718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FEA616-DFF9-4606-AE05-A2A581AB180F}" name="PivotChartTable2" cacheId="87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A3:C14" firstHeaderRow="0" firstDataRow="1" firstDataCol="1" rowPageCount="1" colPageCount="1"/>
  <pivotFields count="4">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xis="axisPage" allDrilled="1" subtotalTop="0" showAll="0" dataSourceSort="1" defaultSubtotal="0" defaultAttributeDrillState="1"/>
    <pivotField dataField="1" subtotalTop="0" showAll="0" defaultSubtotal="0"/>
  </pivotFields>
  <rowFields count="1">
    <field x="1"/>
  </rowFields>
  <rowItems count="11">
    <i>
      <x/>
    </i>
    <i>
      <x v="1"/>
    </i>
    <i>
      <x v="2"/>
    </i>
    <i>
      <x v="3"/>
    </i>
    <i>
      <x v="4"/>
    </i>
    <i>
      <x v="5"/>
    </i>
    <i>
      <x v="6"/>
    </i>
    <i>
      <x v="7"/>
    </i>
    <i>
      <x v="8"/>
    </i>
    <i>
      <x v="9"/>
    </i>
    <i t="grand">
      <x/>
    </i>
  </rowItems>
  <colFields count="1">
    <field x="-2"/>
  </colFields>
  <colItems count="2">
    <i>
      <x/>
    </i>
    <i i="1">
      <x v="1"/>
    </i>
  </colItems>
  <pageFields count="1">
    <pageField fld="2" hier="0" name="[tblFinanceData].[Month].[All]" cap="All"/>
  </pageFields>
  <dataFields count="2">
    <dataField name="Sum of Actual" fld="3" baseField="0" baseItem="0"/>
    <dataField fld="0" subtotal="count" baseField="0" baseItem="0"/>
  </dataFields>
  <chartFormats count="2">
    <chartFormat chart="0" format="1"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Hierarchies count="34">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1" columnCount="2" cacheId="651771819">
        <x15:pivotRow count="2">
          <x15:c>
            <x15:v>1041339</x15:v>
          </x15:c>
          <x15:c>
            <x15:v>187075</x15:v>
            <x15:x in="0"/>
          </x15:c>
        </x15:pivotRow>
        <x15:pivotRow count="2">
          <x15:c>
            <x15:v>1073219</x15:v>
          </x15:c>
          <x15:c>
            <x15:v>188897</x15:v>
            <x15:x in="0"/>
          </x15:c>
        </x15:pivotRow>
        <x15:pivotRow count="2">
          <x15:c>
            <x15:v>1574330</x15:v>
          </x15:c>
          <x15:c>
            <x15:v>452374</x15:v>
            <x15:x in="0"/>
          </x15:c>
        </x15:pivotRow>
        <x15:pivotRow count="2">
          <x15:c>
            <x15:v>1274127</x15:v>
          </x15:c>
          <x15:c>
            <x15:v>231259</x15:v>
            <x15:x in="0"/>
          </x15:c>
        </x15:pivotRow>
        <x15:pivotRow count="2">
          <x15:c>
            <x15:v>1206046</x15:v>
          </x15:c>
          <x15:c>
            <x15:v>377506</x15:v>
            <x15:x in="0"/>
          </x15:c>
        </x15:pivotRow>
        <x15:pivotRow count="2">
          <x15:c>
            <x15:v>1185850</x15:v>
          </x15:c>
          <x15:c>
            <x15:v>531432</x15:v>
            <x15:x in="0"/>
          </x15:c>
        </x15:pivotRow>
        <x15:pivotRow count="2">
          <x15:c>
            <x15:v>904108</x15:v>
          </x15:c>
          <x15:c>
            <x15:v>221864</x15:v>
            <x15:x in="0"/>
          </x15:c>
        </x15:pivotRow>
        <x15:pivotRow count="2">
          <x15:c>
            <x15:v>993694</x15:v>
          </x15:c>
          <x15:c>
            <x15:v>356491</x15:v>
            <x15:x in="0"/>
          </x15:c>
        </x15:pivotRow>
        <x15:pivotRow count="2">
          <x15:c>
            <x15:v>1045803</x15:v>
          </x15:c>
          <x15:c>
            <x15:v>349668</x15:v>
            <x15:x in="0"/>
          </x15:c>
        </x15:pivotRow>
        <x15:pivotRow count="2">
          <x15:c>
            <x15:v>869186</x15:v>
          </x15:c>
          <x15:c>
            <x15:v>196346</x15:v>
            <x15:x in="0"/>
          </x15:c>
        </x15:pivotRow>
        <x15:pivotRow count="2">
          <x15:c>
            <x15:v>11167702</x15:v>
          </x15:c>
          <x15:c>
            <x15:v>3092912</x15:v>
            <x15:x in="0"/>
          </x15:c>
        </x15:pivotRow>
      </x15:pivotTableData>
    </ext>
    <ext xmlns:x15="http://schemas.microsoft.com/office/spreadsheetml/2010/11/main" uri="{E67621CE-5B39-4880-91FE-76760E9C1902}">
      <x15:pivotTableUISettings>
        <x15:activeTabTopLevelEntity name="[tblFinanc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DBADD6-07AE-4D62-A019-3246194C6F71}" name="PivotChartTable1" cacheId="8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4" firstHeaderRow="1" firstDataRow="1" firstDataCol="1" rowPageCount="1" colPageCount="1"/>
  <pivotFields count="3">
    <pivotField axis="axisRow" allDrilled="1" subtotalTop="0" showAll="0" sortType="descending" dataSourceSort="1"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s>
  <rowFields count="1">
    <field x="0"/>
  </rowFields>
  <rowItems count="11">
    <i>
      <x v="3"/>
    </i>
    <i>
      <x v="2"/>
    </i>
    <i>
      <x v="4"/>
    </i>
    <i>
      <x v="1"/>
    </i>
    <i>
      <x v="5"/>
    </i>
    <i>
      <x v="8"/>
    </i>
    <i>
      <x/>
    </i>
    <i>
      <x v="7"/>
    </i>
    <i>
      <x v="9"/>
    </i>
    <i>
      <x v="6"/>
    </i>
    <i t="grand">
      <x/>
    </i>
  </rowItems>
  <colItems count="1">
    <i/>
  </colItems>
  <pageFields count="1">
    <pageField fld="2" hier="13" name="[tblFinanceData].[Overrun Flag2].[All]" cap="All"/>
  </pageFields>
  <dataFields count="1">
    <dataField fld="1" subtotal="count" baseField="0" baseItem="0"/>
  </dataFields>
  <chartFormats count="1">
    <chartFormat chart="0" format="6" series="1">
      <pivotArea type="data" outline="0" fieldPosition="0">
        <references count="1">
          <reference field="4294967294" count="1" selected="0">
            <x v="0"/>
          </reference>
        </references>
      </pivotArea>
    </chartFormat>
  </chartFormats>
  <pivotHierarchies count="34">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1" columnCount="1" cacheId="360827656">
        <x15:pivotRow count="1">
          <x15:c>
            <x15:v>261691</x15:v>
            <x15:x in="0"/>
          </x15:c>
        </x15:pivotRow>
        <x15:pivotRow count="1">
          <x15:c>
            <x15:v>190461</x15:v>
            <x15:x in="0"/>
          </x15:c>
        </x15:pivotRow>
        <x15:pivotRow count="1">
          <x15:c>
            <x15:v>130618</x15:v>
            <x15:x in="0"/>
          </x15:c>
        </x15:pivotRow>
        <x15:pivotRow count="1">
          <x15:c>
            <x15:v>109796</x15:v>
            <x15:x in="0"/>
          </x15:c>
        </x15:pivotRow>
        <x15:pivotRow count="1">
          <x15:c>
            <x15:v>104476</x15:v>
            <x15:x in="0"/>
          </x15:c>
        </x15:pivotRow>
        <x15:pivotRow count="1">
          <x15:c>
            <x15:v>104382</x15:v>
            <x15:x in="0"/>
          </x15:c>
        </x15:pivotRow>
        <x15:pivotRow count="1">
          <x15:c>
            <x15:v>64939</x15:v>
            <x15:x in="0"/>
          </x15:c>
        </x15:pivotRow>
        <x15:pivotRow count="1">
          <x15:c>
            <x15:v>51260</x15:v>
            <x15:x in="0"/>
          </x15:c>
        </x15:pivotRow>
        <x15:pivotRow count="1">
          <x15:c>
            <x15:v>43380</x15:v>
            <x15:x in="0"/>
          </x15:c>
        </x15:pivotRow>
        <x15:pivotRow count="1">
          <x15:c>
            <x15:v>-92111</x15:v>
            <x15:x in="0"/>
          </x15:c>
        </x15:pivotRow>
        <x15:pivotRow count="1">
          <x15:c>
            <x15:v>968892</x15:v>
            <x15:x in="0"/>
          </x15:c>
        </x15:pivotRow>
      </x15:pivotTableData>
    </ext>
    <ext xmlns:x15="http://schemas.microsoft.com/office/spreadsheetml/2010/11/main" uri="{E67621CE-5B39-4880-91FE-76760E9C1902}">
      <x15:pivotTableUISettings>
        <x15:activeTabTopLevelEntity name="[tblFinanc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C34069-D321-425E-9A46-E6BA8BF8EB3A}" name="PivotTable8" cacheId="856" applyNumberFormats="0" applyBorderFormats="0" applyFontFormats="0" applyPatternFormats="0" applyAlignmentFormats="0" applyWidthHeightFormats="1" dataCaption="Values" tag="79c367f1-23ec-473b-983b-1a98c0d2da5e" updatedVersion="8" minRefreshableVersion="3" useAutoFormatting="1" colGrandTotals="0" itemPrintTitles="1" createdVersion="8" indent="0" outline="1" outlineData="1" multipleFieldFilters="0">
  <location ref="D68:E80" firstHeaderRow="1" firstDataRow="2" firstDataCol="1"/>
  <pivotFields count="3">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2">
            <reference field="4294967294" count="1" selected="0">
              <x v="0"/>
            </reference>
            <reference field="1" count="1" selected="0">
              <x v="0"/>
            </reference>
          </references>
        </pivotArea>
      </autoSortScope>
    </pivotField>
    <pivotField axis="axisCol" allDrilled="1" subtotalTop="0" showAll="0" defaultSubtotal="0" defaultAttributeDrillState="1">
      <items count="1">
        <item s="1" x="0"/>
      </items>
    </pivotField>
    <pivotField dataField="1" subtotalTop="0" showAll="0" defaultSubtotal="0"/>
  </pivotFields>
  <rowFields count="1">
    <field x="0"/>
  </rowFields>
  <rowItems count="11">
    <i>
      <x v="3"/>
    </i>
    <i>
      <x v="2"/>
    </i>
    <i>
      <x v="9"/>
    </i>
    <i>
      <x v="5"/>
    </i>
    <i>
      <x v="8"/>
    </i>
    <i>
      <x v="7"/>
    </i>
    <i>
      <x v="4"/>
    </i>
    <i>
      <x/>
    </i>
    <i>
      <x v="1"/>
    </i>
    <i>
      <x v="6"/>
    </i>
    <i t="grand">
      <x/>
    </i>
  </rowItems>
  <colFields count="1">
    <field x="1"/>
  </colFields>
  <colItems count="1">
    <i>
      <x/>
    </i>
  </colItems>
  <dataFields count="1">
    <dataField name="Count of Month" fld="2" subtotal="count" baseField="0" baseItem="0"/>
  </dataFields>
  <formats count="2">
    <format dxfId="73">
      <pivotArea dataOnly="0" labelOnly="1" fieldPosition="0">
        <references count="1">
          <reference field="1" count="1">
            <x v="0"/>
          </reference>
        </references>
      </pivotArea>
    </format>
    <format dxfId="72">
      <pivotArea dataOnly="0" labelOnly="1" fieldPosition="0">
        <references count="1">
          <reference field="0" count="0"/>
        </references>
      </pivotArea>
    </format>
  </formats>
  <conditionalFormats count="1">
    <conditionalFormat priority="1">
      <pivotAreas count="1">
        <pivotArea type="data" collapsedLevelsAreSubtotals="1" fieldPosition="0">
          <references count="2">
            <reference field="4294967294" count="1" selected="0">
              <x v="0"/>
            </reference>
            <reference field="0" count="10">
              <x v="0"/>
              <x v="1"/>
              <x v="2"/>
              <x v="3"/>
              <x v="4"/>
              <x v="5"/>
              <x v="6"/>
              <x v="7"/>
              <x v="8"/>
              <x v="9"/>
            </reference>
          </references>
        </pivotArea>
      </pivotAreas>
    </conditionalFormat>
  </conditionalFormats>
  <pivotHierarchies count="34">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Financ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744FE1-309C-49B5-AB5D-31F9A91FEC64}" name="PivotTable3" cacheId="868" applyNumberFormats="0" applyBorderFormats="0" applyFontFormats="0" applyPatternFormats="0" applyAlignmentFormats="0" applyWidthHeightFormats="1" dataCaption="Values" tag="1b92e2d8-add7-4c03-8858-89d071cb6552" updatedVersion="8" minRefreshableVersion="3" useAutoFormatting="1" itemPrintTitles="1" createdVersion="8" indent="0" outline="1" outlineData="1" multipleFieldFilters="0">
  <location ref="L22:M33" firstHeaderRow="1" firstDataRow="1" firstDataCol="1"/>
  <pivotFields count="2">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2"/>
    </i>
    <i>
      <x v="3"/>
    </i>
    <i>
      <x v="4"/>
    </i>
    <i>
      <x v="1"/>
    </i>
    <i>
      <x v="5"/>
    </i>
    <i>
      <x v="7"/>
    </i>
    <i>
      <x v="6"/>
    </i>
    <i>
      <x v="8"/>
    </i>
    <i>
      <x/>
    </i>
    <i>
      <x v="9"/>
    </i>
    <i t="grand">
      <x/>
    </i>
  </rowItems>
  <colItems count="1">
    <i/>
  </colItems>
  <dataFields count="1">
    <dataField fld="1" subtotal="count" baseField="0" baseItem="0"/>
  </dataFields>
  <formats count="3">
    <format dxfId="83">
      <pivotArea outline="0" collapsedLevelsAreSubtotals="1" fieldPosition="0"/>
    </format>
    <format dxfId="82">
      <pivotArea dataOnly="0" labelOnly="1" outline="0" axis="axisValues" fieldPosition="0"/>
    </format>
    <format dxfId="75">
      <pivotArea dataOnly="0" labelOnly="1" fieldPosition="0">
        <references count="1">
          <reference field="0" count="0"/>
        </references>
      </pivotArea>
    </format>
  </formats>
  <pivotHierarchies count="34">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Financ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907D99-8DCF-4AA8-88E2-F36D67DD8DB7}" name="PivotTable2" cacheId="865" applyNumberFormats="0" applyBorderFormats="0" applyFontFormats="0" applyPatternFormats="0" applyAlignmentFormats="0" applyWidthHeightFormats="1" dataCaption="Values" tag="7f04fbdf-cd33-4c87-9cdc-aeec7f73d86a" updatedVersion="8" minRefreshableVersion="3" useAutoFormatting="1" itemPrintTitles="1" createdVersion="8" indent="0" outline="1" outlineData="1" multipleFieldFilters="0">
  <location ref="D41:G53" firstHeaderRow="1" firstDataRow="2"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xis="axisCol" allDrilled="1" subtotalTop="0" showAll="0" dataSourceSort="1" defaultSubtotal="0" defaultAttributeDrillState="1">
      <items count="2">
        <item x="0"/>
        <item x="1"/>
      </items>
    </pivotField>
  </pivotFields>
  <rowFields count="1">
    <field x="0"/>
  </rowFields>
  <rowItems count="11">
    <i>
      <x/>
    </i>
    <i>
      <x v="1"/>
    </i>
    <i>
      <x v="2"/>
    </i>
    <i>
      <x v="3"/>
    </i>
    <i>
      <x v="4"/>
    </i>
    <i>
      <x v="5"/>
    </i>
    <i>
      <x v="6"/>
    </i>
    <i>
      <x v="7"/>
    </i>
    <i>
      <x v="8"/>
    </i>
    <i>
      <x v="9"/>
    </i>
    <i t="grand">
      <x/>
    </i>
  </rowItems>
  <colFields count="1">
    <field x="2"/>
  </colFields>
  <colItems count="3">
    <i>
      <x/>
    </i>
    <i>
      <x v="1"/>
    </i>
    <i t="grand">
      <x/>
    </i>
  </colItems>
  <dataFields count="1">
    <dataField fld="1" subtotal="count" baseField="0" baseItem="0"/>
  </dataFields>
  <formats count="4">
    <format dxfId="86">
      <pivotArea outline="0" collapsedLevelsAreSubtotals="1" fieldPosition="0"/>
    </format>
    <format dxfId="85">
      <pivotArea dataOnly="0" labelOnly="1" fieldPosition="0">
        <references count="1">
          <reference field="2" count="0"/>
        </references>
      </pivotArea>
    </format>
    <format dxfId="84">
      <pivotArea dataOnly="0" labelOnly="1" grandCol="1" outline="0" fieldPosition="0"/>
    </format>
    <format dxfId="74">
      <pivotArea dataOnly="0" labelOnly="1" fieldPosition="0">
        <references count="1">
          <reference field="0" count="0"/>
        </references>
      </pivotArea>
    </format>
  </formats>
  <conditionalFormats count="1">
    <conditionalFormat priority="2">
      <pivotAreas count="1">
        <pivotArea type="data" collapsedLevelsAreSubtotals="1" fieldPosition="0">
          <references count="2">
            <reference field="4294967294" count="1" selected="0">
              <x v="0"/>
            </reference>
            <reference field="0" count="10">
              <x v="0"/>
              <x v="1"/>
              <x v="2"/>
              <x v="3"/>
              <x v="4"/>
              <x v="5"/>
              <x v="6"/>
              <x v="7"/>
              <x v="8"/>
              <x v="9"/>
            </reference>
          </references>
        </pivotArea>
      </pivotAreas>
    </conditionalFormat>
  </conditionalFormats>
  <pivotHierarchies count="34">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Financ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41310E-164C-4B71-A0BD-83400A59888F}" name="PivotTable1" cacheId="862" applyNumberFormats="0" applyBorderFormats="0" applyFontFormats="0" applyPatternFormats="0" applyAlignmentFormats="0" applyWidthHeightFormats="1" dataCaption="Values" tag="0ee10825-ed64-4714-89e8-974de779031e" updatedVersion="8" minRefreshableVersion="3" useAutoFormatting="1" itemPrintTitles="1" createdVersion="8" indent="0" outline="1" outlineData="1" multipleFieldFilters="0">
  <location ref="C22:H33" firstHeaderRow="0" firstDataRow="1" firstDataCol="1" rowPageCount="1" colPageCount="1"/>
  <pivotFields count="7">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s>
  <rowFields count="1">
    <field x="0"/>
  </rowFields>
  <rowItems count="11">
    <i>
      <x v="3"/>
    </i>
    <i>
      <x v="2"/>
    </i>
    <i>
      <x v="4"/>
    </i>
    <i>
      <x v="1"/>
    </i>
    <i>
      <x v="5"/>
    </i>
    <i>
      <x v="8"/>
    </i>
    <i>
      <x/>
    </i>
    <i>
      <x v="7"/>
    </i>
    <i>
      <x v="9"/>
    </i>
    <i>
      <x v="6"/>
    </i>
    <i t="grand">
      <x/>
    </i>
  </rowItems>
  <colFields count="1">
    <field x="-2"/>
  </colFields>
  <colItems count="5">
    <i>
      <x/>
    </i>
    <i i="1">
      <x v="1"/>
    </i>
    <i i="2">
      <x v="2"/>
    </i>
    <i i="3">
      <x v="3"/>
    </i>
    <i i="4">
      <x v="4"/>
    </i>
  </colItems>
  <pageFields count="1">
    <pageField fld="6" hier="12" name="[tblFinanceData].[Month (Month)].[All]" cap="All"/>
  </pageFields>
  <dataFields count="5">
    <dataField fld="1" subtotal="count" baseField="0" baseItem="0" numFmtId="173"/>
    <dataField fld="2" subtotal="count" baseField="0" baseItem="0" numFmtId="173"/>
    <dataField fld="3" subtotal="count" baseField="0" baseItem="0" numFmtId="173"/>
    <dataField fld="4" subtotal="count" baseField="0" baseItem="0" numFmtId="9"/>
    <dataField fld="5" subtotal="count" baseField="0" baseItem="0" numFmtId="173"/>
  </dataFields>
  <formats count="8">
    <format dxfId="88">
      <pivotArea outline="0" collapsedLevelsAreSubtotals="1" fieldPosition="0"/>
    </format>
    <format dxfId="87">
      <pivotArea dataOnly="0" labelOnly="1" outline="0" fieldPosition="0">
        <references count="1">
          <reference field="4294967294" count="5">
            <x v="0"/>
            <x v="1"/>
            <x v="2"/>
            <x v="3"/>
            <x v="4"/>
          </reference>
        </references>
      </pivotArea>
    </format>
    <format dxfId="81">
      <pivotArea outline="0" collapsedLevelsAreSubtotals="1" fieldPosition="0">
        <references count="1">
          <reference field="4294967294" count="3" selected="0">
            <x v="0"/>
            <x v="1"/>
            <x v="2"/>
          </reference>
        </references>
      </pivotArea>
    </format>
    <format dxfId="80">
      <pivotArea outline="0" collapsedLevelsAreSubtotals="1" fieldPosition="0">
        <references count="1">
          <reference field="4294967294" count="1" selected="0">
            <x v="4"/>
          </reference>
        </references>
      </pivotArea>
    </format>
    <format dxfId="79">
      <pivotArea outline="0" collapsedLevelsAreSubtotals="1" fieldPosition="0"/>
    </format>
    <format dxfId="78">
      <pivotArea outline="0" collapsedLevelsAreSubtotals="1" fieldPosition="0">
        <references count="1">
          <reference field="4294967294" count="1" selected="0">
            <x v="3"/>
          </reference>
        </references>
      </pivotArea>
    </format>
    <format dxfId="77">
      <pivotArea dataOnly="0" labelOnly="1" outline="0" fieldPosition="0">
        <references count="1">
          <reference field="4294967294" count="1">
            <x v="3"/>
          </reference>
        </references>
      </pivotArea>
    </format>
    <format dxfId="76">
      <pivotArea dataOnly="0" labelOnly="1" fieldPosition="0">
        <references count="1">
          <reference field="0" count="0"/>
        </references>
      </pivotArea>
    </format>
  </formats>
  <pivotHierarchies count="34">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Finance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830499B-A69F-4E5C-AE05-F302554C84D2}" sourceName="[tblFinanceData].[Month]">
  <pivotTables>
    <pivotTable tabId="16" name="PivotTable1"/>
    <pivotTable tabId="16" name="PivotTable2"/>
    <pivotTable tabId="16" name="PivotTable3"/>
    <pivotTable tabId="16" name="PivotTable8"/>
  </pivotTables>
  <data>
    <olap pivotCacheId="13265019">
      <levels count="2">
        <level uniqueName="[tblFinanceData].[Month].[(All)]" sourceCaption="(All)" count="0"/>
        <level uniqueName="[tblFinanceData].[Month].[Month]" sourceCaption="Month" count="12">
          <ranges>
            <range startItem="0">
              <i n="[tblFinanceData].[Month].&amp;[2025-01-01T00:00:00]" c="01-01-2025"/>
              <i n="[tblFinanceData].[Month].&amp;[2025-02-01T00:00:00]" c="01-02-2025"/>
              <i n="[tblFinanceData].[Month].&amp;[2025-03-01T00:00:00]" c="01-03-2025"/>
              <i n="[tblFinanceData].[Month].&amp;[2025-04-01T00:00:00]" c="01-04-2025"/>
              <i n="[tblFinanceData].[Month].&amp;[2025-05-01T00:00:00]" c="01-05-2025"/>
              <i n="[tblFinanceData].[Month].&amp;[2025-06-01T00:00:00]" c="01-06-2025"/>
              <i n="[tblFinanceData].[Month].&amp;[2025-07-01T00:00:00]" c="01-07-2025"/>
              <i n="[tblFinanceData].[Month].&amp;[2025-08-01T00:00:00]" c="01-08-2025"/>
              <i n="[tblFinanceData].[Month].&amp;[2025-09-01T00:00:00]" c="01-09-2025"/>
              <i n="[tblFinanceData].[Month].&amp;[2025-10-01T00:00:00]" c="01-10-2025"/>
              <i n="[tblFinanceData].[Month].&amp;[2025-11-01T00:00:00]" c="01-11-2025"/>
              <i n="[tblFinanceData].[Month].&amp;[2025-12-01T00:00:00]" c="01-12-2025"/>
            </range>
          </ranges>
        </level>
      </levels>
      <selections count="1">
        <selection n="[tblFinanceData].[Month].[All]"/>
      </selections>
    </olap>
  </data>
  <extLst>
    <x:ext xmlns:x15="http://schemas.microsoft.com/office/spreadsheetml/2010/11/main" uri="{03082B11-2C62-411c-B77F-237D8FCFBE4C}">
      <x15:slicerCachePivotTables>
        <pivotTable tabId="4294967295" name="PivotChartTable1"/>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run_Flag2" xr10:uid="{22DC2AEA-901E-4FB4-A083-A9EA0CB1B27F}" sourceName="[tblFinanceData].[Overrun Flag2]">
  <pivotTables>
    <pivotTable tabId="16" name="PivotTable1"/>
    <pivotTable tabId="16" name="PivotTable2"/>
    <pivotTable tabId="16" name="PivotTable3"/>
    <pivotTable tabId="16" name="PivotTable8"/>
  </pivotTables>
  <data>
    <olap pivotCacheId="13265019">
      <levels count="2">
        <level uniqueName="[tblFinanceData].[Overrun Flag2].[(All)]" sourceCaption="(All)" count="0"/>
        <level uniqueName="[tblFinanceData].[Overrun Flag2].[Overrun Flag2]" sourceCaption="Overrun Flag2" count="2">
          <ranges>
            <range startItem="0">
              <i n="[tblFinanceData].[Overrun Flag2].&amp;[Over Budget]" c="Over Budget"/>
              <i n="[tblFinanceData].[Overrun Flag2].&amp;[Under Budget]" c="Under Budget"/>
            </range>
          </ranges>
        </level>
      </levels>
      <selections count="1">
        <selection n="[tblFinanceData].[Overrun Flag2].[All]"/>
      </selections>
    </olap>
  </data>
  <extLst>
    <x:ext xmlns:x15="http://schemas.microsoft.com/office/spreadsheetml/2010/11/main" uri="{03082B11-2C62-411c-B77F-237D8FCFBE4C}">
      <x15:slicerCachePivotTables>
        <pivotTable tabId="4294967295" name="PivotChartTable1"/>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gh_Variance_Flag2" xr10:uid="{0CCD0A08-4CEA-48ED-9773-0E0DE9AED45E}" sourceName="[tblFinanceData].[High Variance Flag2]">
  <pivotTables>
    <pivotTable tabId="16" name="PivotTable1"/>
    <pivotTable tabId="16" name="PivotTable2"/>
    <pivotTable tabId="16" name="PivotTable3"/>
    <pivotTable tabId="16" name="PivotTable8"/>
  </pivotTables>
  <data>
    <olap pivotCacheId="13265019">
      <levels count="2">
        <level uniqueName="[tblFinanceData].[High Variance Flag2].[(All)]" sourceCaption="(All)" count="0"/>
        <level uniqueName="[tblFinanceData].[High Variance Flag2].[High Variance Flag2]" sourceCaption="High Variance Flag2" count="2">
          <ranges>
            <range startItem="0">
              <i n="[tblFinanceData].[High Variance Flag2].&amp;[High Variance]" c="High Variance"/>
              <i n="[tblFinanceData].[High Variance Flag2].&amp;[Normal]" c="Normal"/>
            </range>
          </ranges>
        </level>
      </levels>
      <selections count="1">
        <selection n="[tblFinanceData].[High Variance Flag2].[All]"/>
      </selections>
    </olap>
  </data>
  <extLst>
    <x:ext xmlns:x15="http://schemas.microsoft.com/office/spreadsheetml/2010/11/main" uri="{03082B11-2C62-411c-B77F-237D8FCFBE4C}">
      <x15:slicerCachePivotTables>
        <pivotTable tabId="4294967295" name="PivotChartTable1"/>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Item_Account" xr10:uid="{55FFEFCC-6837-480A-B547-5920373F3A6B}" sourceName="[tblFinanceData].[Expense Item/Account]">
  <pivotTables>
    <pivotTable tabId="16" name="PivotTable1"/>
    <pivotTable tabId="16" name="PivotTable2"/>
    <pivotTable tabId="16" name="PivotTable3"/>
    <pivotTable tabId="16" name="PivotTable8"/>
  </pivotTables>
  <data>
    <olap pivotCacheId="13265019">
      <levels count="2">
        <level uniqueName="[tblFinanceData].[Expense Item/Account].[(All)]" sourceCaption="(All)" count="0"/>
        <level uniqueName="[tblFinanceData].[Expense Item/Account].[Expense Item/Account]" sourceCaption="Expense Item/Account" count="10">
          <ranges>
            <range startItem="0">
              <i n="[tblFinanceData].[Expense Item/Account].&amp;[Facilities Rent]" c="Facilities Rent"/>
              <i n="[tblFinanceData].[Expense Item/Account].&amp;[Fraud Losses]" c="Fraud Losses"/>
              <i n="[tblFinanceData].[Expense Item/Account].&amp;[IT Software/Licenses]" c="IT Software/Licenses"/>
              <i n="[tblFinanceData].[Expense Item/Account].&amp;[Marketing]" c="Marketing"/>
              <i n="[tblFinanceData].[Expense Item/Account].&amp;[Outsourcing Fees]" c="Outsourcing Fees"/>
              <i n="[tblFinanceData].[Expense Item/Account].&amp;[Regulatory Fines]" c="Regulatory Fines"/>
              <i n="[tblFinanceData].[Expense Item/Account].&amp;[Salaries]" c="Salaries"/>
              <i n="[tblFinanceData].[Expense Item/Account].&amp;[Training]" c="Training"/>
              <i n="[tblFinanceData].[Expense Item/Account].&amp;[Travel &amp; Meetings]" c="Travel &amp; Meetings"/>
              <i n="[tblFinanceData].[Expense Item/Account].&amp;[Utilities]" c="Utilities"/>
            </range>
          </ranges>
        </level>
      </levels>
      <selections count="1">
        <selection n="[tblFinanceData].[Expense Item/Account].[All]"/>
      </selections>
    </olap>
  </data>
  <extLst>
    <x:ext xmlns:x15="http://schemas.microsoft.com/office/spreadsheetml/2010/11/main" uri="{03082B11-2C62-411c-B77F-237D8FCFBE4C}">
      <x15:slicerCachePivotTables>
        <pivotTable tabId="4294967295" name="PivotChartTable1"/>
        <pivotTable tabId="4294967295" name="PivotChartTable2"/>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C81E09B-CB8D-4C4F-A929-F08895DDF7FF}" cache="Slicer_Month" caption="Month" level="1" rowHeight="234950"/>
  <slicer name="Overrun Flag2" xr10:uid="{1CABF7D6-797A-4DDA-A930-3B6F2BFCBC60}" cache="Slicer_Overrun_Flag2" caption="Overrun Flag2" level="1" rowHeight="234950"/>
  <slicer name="High Variance Flag2" xr10:uid="{C0DECBEA-5687-4715-8F4E-AD70B1C35CA0}" cache="Slicer_High_Variance_Flag2" caption="High Variance Flag2" level="1" rowHeight="234950"/>
  <slicer name="Expense Item/Account" xr10:uid="{9FD66C59-54B8-46E5-83EA-3083A15F5D27}" cache="Slicer_Expense_Item_Account" caption="Expense Item/Account" startItem="2"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AA3C8-64D9-41C0-AC93-BB78E049D287}" name="Table2" displayName="Table2" ref="A1:L121" totalsRowShown="0" headerRowDxfId="91" headerRowBorderDxfId="90" tableBorderDxfId="89">
  <autoFilter ref="A1:L121" xr:uid="{559AA3C8-64D9-41C0-AC93-BB78E049D287}"/>
  <tableColumns count="12">
    <tableColumn id="1" xr3:uid="{166CE11A-A38A-4399-9E8D-3B6DBD18481C}" name="Month"/>
    <tableColumn id="2" xr3:uid="{631333AD-EB4A-4DF0-A2F6-B928B0220DA9}" name="Expense Item/Account"/>
    <tableColumn id="3" xr3:uid="{98666C5A-ED38-4A97-8D10-31358319D435}" name="Cost Center"/>
    <tableColumn id="4" xr3:uid="{F4572FAC-A9FE-44CF-9470-FABD100AAD48}" name="Budget/Forecast"/>
    <tableColumn id="5" xr3:uid="{1B72ED07-CF18-4908-A6FA-3D7DF3291C37}" name="Actual"/>
    <tableColumn id="6" xr3:uid="{F93DCE17-CC9E-44E1-8B66-83C89B1D8A1D}" name="Variance ($)"/>
    <tableColumn id="7" xr3:uid="{A6263EFA-35D3-43FA-A30D-E24C7E2403DC}" name="Variance (%)"/>
    <tableColumn id="8" xr3:uid="{CE39FDA3-D41F-4F74-8C3B-AAA72F23A7A0}" name="Comments/Explanation"/>
    <tableColumn id="9" xr3:uid="{B7777065-EB92-46AA-B6C8-A09744A54B4A}" name="Vendor"/>
    <tableColumn id="10" xr3:uid="{2285DB3D-8DDD-4CA5-B702-6ABF46FDC15C}" name="Activity"/>
    <tableColumn id="11" xr3:uid="{302F43BE-E59A-4A7B-87D2-3952F5DA6195}" name="Personnel Count"/>
    <tableColumn id="12" xr3:uid="{BED947E2-E6F3-440C-979F-66C9B188C39A}" name="ABC Cos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7" Type="http://schemas.microsoft.com/office/2007/relationships/slicer" Target="../slicers/slicer1.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B17"/>
  <sheetViews>
    <sheetView tabSelected="1" workbookViewId="0">
      <selection activeCell="F22" sqref="F22"/>
    </sheetView>
  </sheetViews>
  <sheetFormatPr defaultRowHeight="14.4" x14ac:dyDescent="0.3"/>
  <cols>
    <col min="1" max="1" width="10.77734375" customWidth="1"/>
  </cols>
  <sheetData>
    <row r="1" spans="1:2" x14ac:dyDescent="0.3">
      <c r="A1" t="s">
        <v>46</v>
      </c>
    </row>
    <row r="3" spans="1:2" x14ac:dyDescent="0.3">
      <c r="A3" t="s">
        <v>81</v>
      </c>
    </row>
    <row r="4" spans="1:2" x14ac:dyDescent="0.3">
      <c r="B4" s="8"/>
    </row>
    <row r="5" spans="1:2" x14ac:dyDescent="0.3">
      <c r="A5" t="s">
        <v>47</v>
      </c>
    </row>
    <row r="6" spans="1:2" x14ac:dyDescent="0.3">
      <c r="A6" t="s">
        <v>53</v>
      </c>
    </row>
    <row r="8" spans="1:2" x14ac:dyDescent="0.3">
      <c r="A8" t="s">
        <v>48</v>
      </c>
    </row>
    <row r="9" spans="1:2" x14ac:dyDescent="0.3">
      <c r="A9" t="s">
        <v>49</v>
      </c>
    </row>
    <row r="10" spans="1:2" x14ac:dyDescent="0.3">
      <c r="A10" t="s">
        <v>54</v>
      </c>
    </row>
    <row r="11" spans="1:2" x14ac:dyDescent="0.3">
      <c r="A11" t="s">
        <v>55</v>
      </c>
    </row>
    <row r="12" spans="1:2" x14ac:dyDescent="0.3">
      <c r="A12" t="s">
        <v>56</v>
      </c>
    </row>
    <row r="15" spans="1:2" x14ac:dyDescent="0.3">
      <c r="A15" s="7" t="s">
        <v>75</v>
      </c>
    </row>
    <row r="17" spans="1:1" x14ac:dyDescent="0.3">
      <c r="A17" t="s">
        <v>82</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1:I25"/>
  <sheetViews>
    <sheetView zoomScaleNormal="100" workbookViewId="0">
      <selection activeCell="K10" sqref="K10"/>
    </sheetView>
  </sheetViews>
  <sheetFormatPr defaultRowHeight="14.4" x14ac:dyDescent="0.3"/>
  <cols>
    <col min="1" max="1" width="8.77734375" customWidth="1"/>
    <col min="2" max="2" width="60.44140625" bestFit="1" customWidth="1"/>
    <col min="3" max="3" width="15.21875" style="2" bestFit="1" customWidth="1"/>
    <col min="4" max="4" width="7.88671875" style="2" bestFit="1" customWidth="1"/>
    <col min="5" max="5" width="11.21875" style="2" bestFit="1" customWidth="1"/>
    <col min="6" max="6" width="11.77734375" style="3" bestFit="1" customWidth="1"/>
    <col min="7" max="7" width="9" style="21" bestFit="1" customWidth="1"/>
    <col min="8" max="8" width="61.33203125" style="25" bestFit="1" customWidth="1"/>
    <col min="9" max="9" width="7.21875" customWidth="1"/>
  </cols>
  <sheetData>
    <row r="1" spans="1:9" ht="15.6" x14ac:dyDescent="0.3">
      <c r="A1" s="9"/>
      <c r="B1" s="9"/>
      <c r="C1" s="16"/>
      <c r="D1" s="16"/>
      <c r="E1" s="16"/>
      <c r="F1" s="18"/>
      <c r="G1" s="20"/>
      <c r="H1" s="24"/>
      <c r="I1" s="9"/>
    </row>
    <row r="2" spans="1:9" ht="34.799999999999997" x14ac:dyDescent="0.55000000000000004">
      <c r="A2" s="9"/>
      <c r="B2" s="13" t="s">
        <v>50</v>
      </c>
      <c r="C2" s="16"/>
      <c r="D2" s="16"/>
      <c r="E2" s="16"/>
      <c r="F2" s="18"/>
      <c r="G2" s="20"/>
      <c r="H2" s="24"/>
      <c r="I2" s="9"/>
    </row>
    <row r="3" spans="1:9" ht="15.6" x14ac:dyDescent="0.3">
      <c r="A3" s="10"/>
      <c r="B3" s="9"/>
      <c r="C3" s="16"/>
      <c r="D3" s="16"/>
      <c r="E3" s="16"/>
      <c r="F3" s="18"/>
      <c r="G3" s="20"/>
      <c r="H3" s="24"/>
      <c r="I3" s="9"/>
    </row>
    <row r="4" spans="1:9" ht="17.399999999999999" x14ac:dyDescent="0.3">
      <c r="A4" s="10"/>
      <c r="B4" s="14" t="s">
        <v>51</v>
      </c>
      <c r="C4" s="16"/>
      <c r="D4" s="16"/>
      <c r="E4" s="16"/>
      <c r="F4" s="18"/>
      <c r="G4" s="20"/>
      <c r="H4" s="24"/>
      <c r="I4" s="9"/>
    </row>
    <row r="5" spans="1:9" ht="15.6" x14ac:dyDescent="0.3">
      <c r="A5" s="10"/>
      <c r="B5" s="9"/>
      <c r="C5" s="16"/>
      <c r="D5" s="16"/>
      <c r="E5" s="16"/>
      <c r="F5" s="18"/>
      <c r="G5" s="20"/>
      <c r="H5" s="24"/>
      <c r="I5" s="9"/>
    </row>
    <row r="6" spans="1:9" ht="15.6" x14ac:dyDescent="0.3">
      <c r="A6" s="10"/>
      <c r="B6" s="9"/>
      <c r="C6" s="16"/>
      <c r="D6" s="16"/>
      <c r="E6" s="16"/>
      <c r="F6" s="18"/>
      <c r="G6" s="20"/>
      <c r="H6" s="24"/>
      <c r="I6" s="9"/>
    </row>
    <row r="7" spans="1:9" x14ac:dyDescent="0.3">
      <c r="A7" s="12"/>
      <c r="B7" s="11"/>
    </row>
    <row r="8" spans="1:9" x14ac:dyDescent="0.3">
      <c r="B8" s="29" t="s">
        <v>52</v>
      </c>
      <c r="C8" s="30"/>
      <c r="D8" s="30"/>
      <c r="E8" s="30"/>
      <c r="F8" s="30"/>
      <c r="G8" s="30"/>
      <c r="H8" s="30"/>
    </row>
    <row r="9" spans="1:9" x14ac:dyDescent="0.3">
      <c r="B9" s="30"/>
      <c r="C9" s="30"/>
      <c r="D9" s="30"/>
      <c r="E9" s="30"/>
      <c r="F9" s="30"/>
      <c r="G9" s="30"/>
      <c r="H9" s="30"/>
    </row>
    <row r="10" spans="1:9" x14ac:dyDescent="0.3">
      <c r="B10" s="30"/>
      <c r="C10" s="30"/>
      <c r="D10" s="30"/>
      <c r="E10" s="30"/>
      <c r="F10" s="30"/>
      <c r="G10" s="30"/>
      <c r="H10" s="30"/>
    </row>
    <row r="11" spans="1:9" x14ac:dyDescent="0.3">
      <c r="B11" s="30"/>
      <c r="C11" s="30"/>
      <c r="D11" s="30"/>
      <c r="E11" s="30"/>
      <c r="F11" s="30"/>
      <c r="G11" s="30"/>
      <c r="H11" s="30"/>
    </row>
    <row r="12" spans="1:9" x14ac:dyDescent="0.3">
      <c r="B12" s="30"/>
      <c r="C12" s="30"/>
      <c r="D12" s="30"/>
      <c r="E12" s="30"/>
      <c r="F12" s="30"/>
      <c r="G12" s="30"/>
      <c r="H12" s="30"/>
    </row>
    <row r="15" spans="1:9" x14ac:dyDescent="0.3">
      <c r="B15" s="15" t="s">
        <v>1</v>
      </c>
      <c r="C15" s="17" t="s">
        <v>3</v>
      </c>
      <c r="D15" s="17" t="s">
        <v>4</v>
      </c>
      <c r="E15" s="17" t="s">
        <v>5</v>
      </c>
      <c r="F15" s="19" t="s">
        <v>6</v>
      </c>
      <c r="G15" s="22" t="s">
        <v>11</v>
      </c>
      <c r="H15" s="26" t="s">
        <v>7</v>
      </c>
    </row>
    <row r="16" spans="1:9" x14ac:dyDescent="0.3">
      <c r="B16" s="6" t="s">
        <v>13</v>
      </c>
      <c r="C16" s="4">
        <f>IFERROR(VLOOKUP(B16,'Dec 2025'!B:L,3,FALSE),0)</f>
        <v>80930</v>
      </c>
      <c r="D16" s="4">
        <f>IFERROR(VLOOKUP(B16,'Dec 2025'!B:L,4,FALSE),0)</f>
        <v>78772</v>
      </c>
      <c r="E16" s="4">
        <f t="shared" ref="E16:E25" si="0">D16-C16</f>
        <v>-2158</v>
      </c>
      <c r="F16" s="5">
        <f t="shared" ref="F16:F25" si="1">IF(C16=0,0,(D16-C16)/C16)</f>
        <v>-2.6665019152353885E-2</v>
      </c>
      <c r="G16" s="23">
        <f>IFERROR(VLOOKUP(B16,'Dec 2025'!B:L,11,FALSE),0)</f>
        <v>9658.06</v>
      </c>
      <c r="H16" s="27" t="str">
        <f>IFERROR(IF(LEN(VLOOKUP(B16,'Dec 2025'!B:L,7,FALSE))=0,"",VLOOKUP(B16,'Dec 2025'!B:L,7,FALSE)),"")</f>
        <v/>
      </c>
    </row>
    <row r="17" spans="2:8" x14ac:dyDescent="0.3">
      <c r="B17" s="6" t="s">
        <v>18</v>
      </c>
      <c r="C17" s="4">
        <f>IFERROR(VLOOKUP(B17,'Dec 2025'!B:L,3,FALSE),0)</f>
        <v>109922</v>
      </c>
      <c r="D17" s="4">
        <f>IFERROR(VLOOKUP(B17,'Dec 2025'!B:L,4,FALSE),0)</f>
        <v>118815</v>
      </c>
      <c r="E17" s="4">
        <f t="shared" si="0"/>
        <v>8893</v>
      </c>
      <c r="F17" s="5">
        <f t="shared" si="1"/>
        <v>8.0902822001055294E-2</v>
      </c>
      <c r="G17" s="23">
        <f>IFERROR(VLOOKUP(B17,'Dec 2025'!B:L,11,FALSE),0)</f>
        <v>31679.59</v>
      </c>
      <c r="H17" s="27" t="str">
        <f>IFERROR(IF(LEN(VLOOKUP(B17,'Dec 2025'!B:L,7,FALSE))=0,"",VLOOKUP(B17,'Dec 2025'!B:L,7,FALSE)),"")</f>
        <v/>
      </c>
    </row>
    <row r="18" spans="2:8" x14ac:dyDescent="0.3">
      <c r="B18" s="6" t="s">
        <v>21</v>
      </c>
      <c r="C18" s="4">
        <f>IFERROR(VLOOKUP(B18,'Dec 2025'!B:L,3,FALSE),0)</f>
        <v>119968</v>
      </c>
      <c r="D18" s="4">
        <f>IFERROR(VLOOKUP(B18,'Dec 2025'!B:L,4,FALSE),0)</f>
        <v>173988</v>
      </c>
      <c r="E18" s="4">
        <f t="shared" si="0"/>
        <v>54020</v>
      </c>
      <c r="F18" s="5">
        <f t="shared" si="1"/>
        <v>0.45028674313150174</v>
      </c>
      <c r="G18" s="23">
        <f>IFERROR(VLOOKUP(B18,'Dec 2025'!B:L,11,FALSE),0)</f>
        <v>30309.48</v>
      </c>
      <c r="H18" s="27" t="str">
        <f>IFERROR(IF(LEN(VLOOKUP(B18,'Dec 2025'!B:L,7,FALSE))=0,"",VLOOKUP(B18,'Dec 2025'!B:L,7,FALSE)),"")</f>
        <v>Significant overrun — investigate vendor invoices or one-time fines.</v>
      </c>
    </row>
    <row r="19" spans="2:8" x14ac:dyDescent="0.3">
      <c r="B19" s="6" t="s">
        <v>25</v>
      </c>
      <c r="C19" s="4">
        <f>IFERROR(VLOOKUP(B19,'Dec 2025'!B:L,3,FALSE),0)</f>
        <v>78570</v>
      </c>
      <c r="D19" s="4">
        <f>IFERROR(VLOOKUP(B19,'Dec 2025'!B:L,4,FALSE),0)</f>
        <v>56275</v>
      </c>
      <c r="E19" s="4">
        <f t="shared" si="0"/>
        <v>-22295</v>
      </c>
      <c r="F19" s="5">
        <f t="shared" si="1"/>
        <v>-0.28375970472190404</v>
      </c>
      <c r="G19" s="23">
        <f>IFERROR(VLOOKUP(B19,'Dec 2025'!B:L,11,FALSE),0)</f>
        <v>15861.24</v>
      </c>
      <c r="H19" s="27" t="str">
        <f>IFERROR(IF(LEN(VLOOKUP(B19,'Dec 2025'!B:L,7,FALSE))=0,"",VLOOKUP(B19,'Dec 2025'!B:L,7,FALSE)),"")</f>
        <v>Under-budget due to timing of hires or project delays.</v>
      </c>
    </row>
    <row r="20" spans="2:8" x14ac:dyDescent="0.3">
      <c r="B20" s="6" t="s">
        <v>26</v>
      </c>
      <c r="C20" s="4">
        <f>IFERROR(VLOOKUP(B20,'Dec 2025'!B:L,3,FALSE),0)</f>
        <v>49723</v>
      </c>
      <c r="D20" s="4">
        <f>IFERROR(VLOOKUP(B20,'Dec 2025'!B:L,4,FALSE),0)</f>
        <v>59892</v>
      </c>
      <c r="E20" s="4">
        <f t="shared" si="0"/>
        <v>10169</v>
      </c>
      <c r="F20" s="5">
        <f t="shared" si="1"/>
        <v>0.20451300203125314</v>
      </c>
      <c r="G20" s="23">
        <f>IFERROR(VLOOKUP(B20,'Dec 2025'!B:L,11,FALSE),0)</f>
        <v>10816.6</v>
      </c>
      <c r="H20" s="27" t="str">
        <f>IFERROR(IF(LEN(VLOOKUP(B20,'Dec 2025'!B:L,7,FALSE))=0,"",VLOOKUP(B20,'Dec 2025'!B:L,7,FALSE)),"")</f>
        <v>Significant overrun — investigate vendor invoices or one-time fines.</v>
      </c>
    </row>
    <row r="21" spans="2:8" x14ac:dyDescent="0.3">
      <c r="B21" s="6" t="s">
        <v>27</v>
      </c>
      <c r="C21" s="4">
        <f>IFERROR(VLOOKUP(B21,'Dec 2025'!B:L,3,FALSE),0)</f>
        <v>22884</v>
      </c>
      <c r="D21" s="4">
        <f>IFERROR(VLOOKUP(B21,'Dec 2025'!B:L,4,FALSE),0)</f>
        <v>23990</v>
      </c>
      <c r="E21" s="4">
        <f t="shared" si="0"/>
        <v>1106</v>
      </c>
      <c r="F21" s="5">
        <f t="shared" si="1"/>
        <v>4.8330711414088449E-2</v>
      </c>
      <c r="G21" s="23">
        <f>IFERROR(VLOOKUP(B21,'Dec 2025'!B:L,11,FALSE),0)</f>
        <v>4614.07</v>
      </c>
      <c r="H21" s="27" t="str">
        <f>IFERROR(IF(LEN(VLOOKUP(B21,'Dec 2025'!B:L,7,FALSE))=0,"",VLOOKUP(B21,'Dec 2025'!B:L,7,FALSE)),"")</f>
        <v/>
      </c>
    </row>
    <row r="22" spans="2:8" x14ac:dyDescent="0.3">
      <c r="B22" s="6" t="s">
        <v>28</v>
      </c>
      <c r="C22" s="4">
        <f>IFERROR(VLOOKUP(B22,'Dec 2025'!B:L,3,FALSE),0)</f>
        <v>126130</v>
      </c>
      <c r="D22" s="4">
        <f>IFERROR(VLOOKUP(B22,'Dec 2025'!B:L,4,FALSE),0)</f>
        <v>185559</v>
      </c>
      <c r="E22" s="4">
        <f t="shared" si="0"/>
        <v>59429</v>
      </c>
      <c r="F22" s="5">
        <f t="shared" si="1"/>
        <v>0.47117259969872355</v>
      </c>
      <c r="G22" s="23">
        <f>IFERROR(VLOOKUP(B22,'Dec 2025'!B:L,11,FALSE),0)</f>
        <v>51397.39</v>
      </c>
      <c r="H22" s="27" t="str">
        <f>IFERROR(IF(LEN(VLOOKUP(B22,'Dec 2025'!B:L,7,FALSE))=0,"",VLOOKUP(B22,'Dec 2025'!B:L,7,FALSE)),"")</f>
        <v>Significant overrun — investigate vendor invoices or one-time fines.</v>
      </c>
    </row>
    <row r="23" spans="2:8" x14ac:dyDescent="0.3">
      <c r="B23" s="6" t="s">
        <v>29</v>
      </c>
      <c r="C23" s="4">
        <f>IFERROR(VLOOKUP(B23,'Dec 2025'!B:L,3,FALSE),0)</f>
        <v>82405</v>
      </c>
      <c r="D23" s="4">
        <f>IFERROR(VLOOKUP(B23,'Dec 2025'!B:L,4,FALSE),0)</f>
        <v>80631</v>
      </c>
      <c r="E23" s="4">
        <f t="shared" si="0"/>
        <v>-1774</v>
      </c>
      <c r="F23" s="5">
        <f t="shared" si="1"/>
        <v>-2.1527819913840181E-2</v>
      </c>
      <c r="G23" s="23">
        <f>IFERROR(VLOOKUP(B23,'Dec 2025'!B:L,11,FALSE),0)</f>
        <v>23528.799999999999</v>
      </c>
      <c r="H23" s="27" t="str">
        <f>IFERROR(IF(LEN(VLOOKUP(B23,'Dec 2025'!B:L,7,FALSE))=0,"",VLOOKUP(B23,'Dec 2025'!B:L,7,FALSE)),"")</f>
        <v/>
      </c>
    </row>
    <row r="24" spans="2:8" x14ac:dyDescent="0.3">
      <c r="B24" s="6" t="s">
        <v>31</v>
      </c>
      <c r="C24" s="4">
        <f>IFERROR(VLOOKUP(B24,'Dec 2025'!B:L,3,FALSE),0)</f>
        <v>124655</v>
      </c>
      <c r="D24" s="4">
        <f>IFERROR(VLOOKUP(B24,'Dec 2025'!B:L,4,FALSE),0)</f>
        <v>176117</v>
      </c>
      <c r="E24" s="4">
        <f t="shared" si="0"/>
        <v>51462</v>
      </c>
      <c r="F24" s="5">
        <f t="shared" si="1"/>
        <v>0.41283542577513938</v>
      </c>
      <c r="G24" s="23">
        <f>IFERROR(VLOOKUP(B24,'Dec 2025'!B:L,11,FALSE),0)</f>
        <v>36135.03</v>
      </c>
      <c r="H24" s="27" t="str">
        <f>IFERROR(IF(LEN(VLOOKUP(B24,'Dec 2025'!B:L,7,FALSE))=0,"",VLOOKUP(B24,'Dec 2025'!B:L,7,FALSE)),"")</f>
        <v>Significant overrun — investigate vendor invoices or one-time fines.</v>
      </c>
    </row>
    <row r="25" spans="2:8" x14ac:dyDescent="0.3">
      <c r="B25" s="6" t="s">
        <v>32</v>
      </c>
      <c r="C25" s="4">
        <f>IFERROR(VLOOKUP(B25,'Dec 2025'!B:L,3,FALSE),0)</f>
        <v>96689</v>
      </c>
      <c r="D25" s="4">
        <f>IFERROR(VLOOKUP(B25,'Dec 2025'!B:L,4,FALSE),0)</f>
        <v>92146</v>
      </c>
      <c r="E25" s="4">
        <f t="shared" si="0"/>
        <v>-4543</v>
      </c>
      <c r="F25" s="5">
        <f t="shared" si="1"/>
        <v>-4.6985696408071237E-2</v>
      </c>
      <c r="G25" s="23">
        <f>IFERROR(VLOOKUP(B25,'Dec 2025'!B:L,11,FALSE),0)</f>
        <v>34208.980000000003</v>
      </c>
      <c r="H25" s="27" t="str">
        <f>IFERROR(IF(LEN(VLOOKUP(B25,'Dec 2025'!B:L,7,FALSE))=0,"",VLOOKUP(B25,'Dec 2025'!B:L,7,FALSE)),"")</f>
        <v/>
      </c>
    </row>
  </sheetData>
  <sortState xmlns:xlrd2="http://schemas.microsoft.com/office/spreadsheetml/2017/richdata2" ref="A2:I7">
    <sortCondition descending="1" ref="D2"/>
  </sortState>
  <mergeCells count="1">
    <mergeCell ref="B8:H12"/>
  </mergeCells>
  <pageMargins left="0.75" right="0.75" top="1" bottom="1" header="0.5" footer="0.5"/>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Financial_Summary">
                <anchor moveWithCells="1" sizeWithCells="1">
                  <from>
                    <xdr:col>7</xdr:col>
                    <xdr:colOff>876300</xdr:colOff>
                    <xdr:row>0</xdr:row>
                    <xdr:rowOff>175260</xdr:rowOff>
                  </from>
                  <to>
                    <xdr:col>7</xdr:col>
                    <xdr:colOff>2499360</xdr:colOff>
                    <xdr:row>1</xdr:row>
                    <xdr:rowOff>396240</xdr:rowOff>
                  </to>
                </anchor>
              </controlPr>
            </control>
          </mc:Choice>
        </mc:AlternateContent>
        <mc:AlternateContent xmlns:mc="http://schemas.openxmlformats.org/markup-compatibility/2006">
          <mc:Choice Requires="x14">
            <control shapeId="2051" r:id="rId5" name="Button 3">
              <controlPr defaultSize="0" print="0" autoFill="0" autoPict="0" macro="[0]!Export_Summary_As_PDF">
                <anchor moveWithCells="1" sizeWithCells="1">
                  <from>
                    <xdr:col>7</xdr:col>
                    <xdr:colOff>899160</xdr:colOff>
                    <xdr:row>3</xdr:row>
                    <xdr:rowOff>7620</xdr:rowOff>
                  </from>
                  <to>
                    <xdr:col>7</xdr:col>
                    <xdr:colOff>2484120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8D3E4-9864-47C4-8784-88A76A221878}">
  <sheetPr codeName="Sheet16"/>
  <dimension ref="A1:Y90"/>
  <sheetViews>
    <sheetView zoomScale="41" zoomScaleNormal="41" workbookViewId="0"/>
  </sheetViews>
  <sheetFormatPr defaultRowHeight="14.4" x14ac:dyDescent="0.3"/>
  <cols>
    <col min="1" max="1" width="14.33203125" customWidth="1"/>
    <col min="2" max="2" width="6.6640625" customWidth="1"/>
    <col min="3" max="3" width="19" bestFit="1" customWidth="1"/>
    <col min="4" max="5" width="20.44140625" bestFit="1" customWidth="1"/>
    <col min="6" max="6" width="16.33203125" bestFit="1" customWidth="1"/>
    <col min="7" max="7" width="12.33203125" bestFit="1" customWidth="1"/>
    <col min="8" max="8" width="17.77734375" bestFit="1" customWidth="1"/>
    <col min="9" max="9" width="5.88671875" bestFit="1" customWidth="1"/>
    <col min="10" max="10" width="5.21875" bestFit="1" customWidth="1"/>
    <col min="11" max="11" width="9" customWidth="1"/>
    <col min="12" max="12" width="19.109375" bestFit="1" customWidth="1"/>
    <col min="13" max="13" width="13.5546875" bestFit="1" customWidth="1"/>
    <col min="14" max="14" width="6.44140625" customWidth="1"/>
    <col min="15" max="15" width="6.109375" bestFit="1" customWidth="1"/>
    <col min="16" max="16" width="13.77734375" customWidth="1"/>
    <col min="17" max="17" width="16.109375" bestFit="1" customWidth="1"/>
    <col min="18" max="18" width="4.21875" customWidth="1"/>
    <col min="19" max="19" width="22.33203125" customWidth="1"/>
    <col min="20" max="24" width="16.109375" bestFit="1" customWidth="1"/>
    <col min="25" max="25" width="15.88671875" customWidth="1"/>
    <col min="26" max="26" width="16.109375" bestFit="1" customWidth="1"/>
    <col min="27" max="27" width="15" bestFit="1" customWidth="1"/>
    <col min="28" max="28" width="21.109375" bestFit="1" customWidth="1"/>
    <col min="29" max="29" width="16" bestFit="1" customWidth="1"/>
    <col min="30" max="30" width="12.6640625" bestFit="1" customWidth="1"/>
    <col min="31" max="31" width="13.44140625" bestFit="1" customWidth="1"/>
    <col min="32" max="32" width="11.77734375" bestFit="1" customWidth="1"/>
    <col min="33" max="33" width="11.109375" bestFit="1" customWidth="1"/>
    <col min="34" max="34" width="16" bestFit="1" customWidth="1"/>
    <col min="35" max="35" width="12.6640625" bestFit="1" customWidth="1"/>
    <col min="36" max="36" width="13.44140625" bestFit="1" customWidth="1"/>
    <col min="37" max="37" width="11.77734375" bestFit="1" customWidth="1"/>
    <col min="38" max="38" width="11.109375" bestFit="1" customWidth="1"/>
    <col min="39" max="39" width="16" bestFit="1" customWidth="1"/>
    <col min="40" max="40" width="12.6640625" bestFit="1" customWidth="1"/>
    <col min="41" max="41" width="13.44140625" bestFit="1" customWidth="1"/>
    <col min="42" max="42" width="11.77734375" bestFit="1" customWidth="1"/>
    <col min="43" max="43" width="11.109375" bestFit="1" customWidth="1"/>
    <col min="44" max="44" width="16" bestFit="1" customWidth="1"/>
    <col min="45" max="45" width="12.6640625" bestFit="1" customWidth="1"/>
    <col min="46" max="46" width="13.44140625" bestFit="1" customWidth="1"/>
    <col min="47" max="47" width="11.77734375" bestFit="1" customWidth="1"/>
    <col min="48" max="48" width="11.109375" bestFit="1" customWidth="1"/>
    <col min="49" max="49" width="16" bestFit="1" customWidth="1"/>
    <col min="50" max="50" width="12.6640625" bestFit="1" customWidth="1"/>
    <col min="51" max="51" width="13.44140625" bestFit="1" customWidth="1"/>
    <col min="52" max="52" width="11.77734375" bestFit="1" customWidth="1"/>
    <col min="53" max="53" width="11.109375" bestFit="1" customWidth="1"/>
    <col min="54" max="54" width="16" bestFit="1" customWidth="1"/>
    <col min="55" max="55" width="12.6640625" bestFit="1" customWidth="1"/>
    <col min="56" max="56" width="13.44140625" bestFit="1" customWidth="1"/>
    <col min="57" max="57" width="11.77734375" bestFit="1" customWidth="1"/>
    <col min="58" max="58" width="11.109375" bestFit="1" customWidth="1"/>
    <col min="59" max="59" width="16" bestFit="1" customWidth="1"/>
    <col min="60" max="60" width="12.6640625" bestFit="1" customWidth="1"/>
    <col min="61" max="61" width="13.44140625" bestFit="1" customWidth="1"/>
    <col min="62" max="62" width="11.77734375" bestFit="1" customWidth="1"/>
    <col min="63" max="63" width="11.109375" bestFit="1" customWidth="1"/>
    <col min="64" max="64" width="16" bestFit="1" customWidth="1"/>
    <col min="65" max="65" width="12.6640625" bestFit="1" customWidth="1"/>
    <col min="66" max="66" width="13.44140625" bestFit="1" customWidth="1"/>
    <col min="67" max="67" width="16.77734375" bestFit="1" customWidth="1"/>
    <col min="68" max="68" width="16" bestFit="1" customWidth="1"/>
    <col min="69" max="69" width="21" bestFit="1" customWidth="1"/>
    <col min="70" max="70" width="15.21875" bestFit="1" customWidth="1"/>
    <col min="71" max="71" width="18.33203125" bestFit="1" customWidth="1"/>
  </cols>
  <sheetData>
    <row r="1" spans="1:25" x14ac:dyDescent="0.3">
      <c r="A1" s="45"/>
      <c r="B1" s="45"/>
      <c r="C1" s="45"/>
      <c r="D1" s="45"/>
      <c r="E1" s="45"/>
      <c r="F1" s="45"/>
      <c r="G1" s="45"/>
      <c r="H1" s="45"/>
      <c r="I1" s="45"/>
      <c r="J1" s="45"/>
      <c r="K1" s="45"/>
      <c r="L1" s="45"/>
      <c r="M1" s="45"/>
      <c r="N1" s="45"/>
      <c r="O1" s="45"/>
      <c r="P1" s="45"/>
      <c r="Q1" s="45"/>
      <c r="R1" s="45"/>
      <c r="S1" s="45"/>
      <c r="T1" s="45"/>
      <c r="U1" s="45"/>
      <c r="V1" s="45"/>
      <c r="W1" s="45"/>
      <c r="X1" s="45"/>
      <c r="Y1" s="45"/>
    </row>
    <row r="2" spans="1:25" x14ac:dyDescent="0.3">
      <c r="A2" s="45"/>
      <c r="B2" s="45"/>
      <c r="C2" s="45"/>
      <c r="D2" s="45"/>
      <c r="E2" s="45"/>
      <c r="F2" s="45"/>
      <c r="G2" s="45"/>
      <c r="H2" s="45"/>
      <c r="I2" s="45"/>
      <c r="J2" s="45"/>
      <c r="K2" s="45"/>
      <c r="L2" s="45"/>
      <c r="M2" s="45"/>
      <c r="N2" s="45"/>
      <c r="O2" s="45"/>
      <c r="P2" s="45"/>
      <c r="Q2" s="45"/>
      <c r="R2" s="45"/>
      <c r="S2" s="45"/>
      <c r="T2" s="45"/>
      <c r="U2" s="45"/>
      <c r="V2" s="45"/>
      <c r="W2" s="45"/>
      <c r="X2" s="45"/>
      <c r="Y2" s="45"/>
    </row>
    <row r="3" spans="1:25" ht="46.2" x14ac:dyDescent="0.8">
      <c r="A3" s="45"/>
      <c r="B3" s="45"/>
      <c r="C3" s="45"/>
      <c r="D3" s="54" t="s">
        <v>76</v>
      </c>
      <c r="E3" s="54"/>
      <c r="F3" s="54"/>
      <c r="G3" s="54"/>
      <c r="H3" s="54"/>
      <c r="I3" s="54"/>
      <c r="J3" s="54"/>
      <c r="K3" s="54"/>
      <c r="L3" s="54"/>
      <c r="M3" s="54"/>
      <c r="N3" s="54"/>
      <c r="O3" s="54"/>
      <c r="P3" s="54"/>
      <c r="Q3" s="54"/>
      <c r="R3" s="54"/>
      <c r="S3" s="54"/>
      <c r="T3" s="54"/>
      <c r="U3" s="45"/>
      <c r="V3" s="45"/>
      <c r="W3" s="45"/>
      <c r="X3" s="45"/>
      <c r="Y3" s="45"/>
    </row>
    <row r="4" spans="1:25" x14ac:dyDescent="0.3">
      <c r="A4" s="45"/>
      <c r="B4" s="45"/>
      <c r="C4" s="45"/>
      <c r="D4" s="45"/>
      <c r="E4" s="45"/>
      <c r="F4" s="45"/>
      <c r="G4" s="45"/>
      <c r="H4" s="45"/>
      <c r="I4" s="45"/>
      <c r="J4" s="45"/>
      <c r="K4" s="45"/>
      <c r="L4" s="45"/>
      <c r="M4" s="45"/>
      <c r="N4" s="45"/>
      <c r="O4" s="45"/>
      <c r="P4" s="45"/>
      <c r="Q4" s="45"/>
      <c r="R4" s="45"/>
      <c r="S4" s="45"/>
      <c r="T4" s="45"/>
      <c r="U4" s="45"/>
      <c r="V4" s="45"/>
      <c r="W4" s="45"/>
      <c r="X4" s="45"/>
      <c r="Y4" s="45"/>
    </row>
    <row r="5" spans="1:25" x14ac:dyDescent="0.3">
      <c r="A5" s="45"/>
      <c r="B5" s="45"/>
      <c r="C5" s="45"/>
      <c r="D5" s="45"/>
      <c r="E5" s="45"/>
      <c r="F5" s="45"/>
      <c r="G5" s="45"/>
      <c r="H5" s="45"/>
      <c r="I5" s="45"/>
      <c r="J5" s="45"/>
      <c r="K5" s="45"/>
      <c r="L5" s="45"/>
      <c r="M5" s="45"/>
      <c r="N5" s="45"/>
      <c r="O5" s="45"/>
      <c r="P5" s="45"/>
      <c r="Q5" s="45"/>
      <c r="R5" s="45"/>
      <c r="S5" s="45"/>
      <c r="T5" s="45"/>
      <c r="U5" s="45"/>
      <c r="V5" s="45"/>
      <c r="W5" s="45"/>
      <c r="X5" s="45"/>
      <c r="Y5" s="45"/>
    </row>
    <row r="6" spans="1:25" x14ac:dyDescent="0.3">
      <c r="A6" s="55"/>
      <c r="B6" s="55"/>
      <c r="C6" s="55"/>
      <c r="D6" s="55"/>
      <c r="E6" s="55"/>
      <c r="F6" s="55"/>
      <c r="G6" s="55"/>
      <c r="H6" s="55"/>
      <c r="I6" s="55"/>
      <c r="J6" s="55"/>
      <c r="K6" s="55"/>
      <c r="L6" s="55"/>
      <c r="M6" s="55"/>
      <c r="N6" s="55"/>
      <c r="O6" s="55"/>
      <c r="P6" s="55"/>
      <c r="Q6" s="55"/>
      <c r="R6" s="55"/>
      <c r="S6" s="55"/>
      <c r="T6" s="55"/>
      <c r="U6" s="55"/>
      <c r="V6" s="55"/>
      <c r="W6" s="55"/>
      <c r="X6" s="55"/>
      <c r="Y6" s="55"/>
    </row>
    <row r="7" spans="1:25" ht="21" x14ac:dyDescent="0.4">
      <c r="A7" s="55"/>
      <c r="B7" s="55"/>
      <c r="C7" s="55"/>
      <c r="D7" s="56" t="s">
        <v>78</v>
      </c>
      <c r="E7" s="55"/>
      <c r="F7" s="55"/>
      <c r="G7" s="56" t="s">
        <v>77</v>
      </c>
      <c r="H7" s="55"/>
      <c r="I7" s="55"/>
      <c r="J7" s="55"/>
      <c r="K7" s="55"/>
      <c r="L7" s="56" t="s">
        <v>79</v>
      </c>
      <c r="M7" s="55"/>
      <c r="N7" s="55"/>
      <c r="O7" s="55"/>
      <c r="P7" s="56" t="s">
        <v>65</v>
      </c>
      <c r="Q7" s="55"/>
      <c r="R7" s="55"/>
      <c r="S7" s="55"/>
      <c r="T7" s="56" t="s">
        <v>80</v>
      </c>
      <c r="U7" s="55"/>
      <c r="V7" s="55"/>
      <c r="W7" s="55"/>
      <c r="X7" s="55"/>
      <c r="Y7" s="55"/>
    </row>
    <row r="8" spans="1:25" ht="21" x14ac:dyDescent="0.4">
      <c r="A8" s="55"/>
      <c r="B8" s="55"/>
      <c r="C8" s="55"/>
      <c r="D8" s="60">
        <f>GETPIVOTDATA("[Measures].[Total Budget]",$C$22)</f>
        <v>10198810</v>
      </c>
      <c r="E8" s="55"/>
      <c r="F8" s="55"/>
      <c r="G8" s="60">
        <f>GETPIVOTDATA("[Measures].[Total Actual]",$C$22)</f>
        <v>11167702</v>
      </c>
      <c r="H8" s="55"/>
      <c r="I8" s="55"/>
      <c r="J8" s="55"/>
      <c r="K8" s="55"/>
      <c r="L8" s="60">
        <f>GETPIVOTDATA("[Measures].[Variance Amount]",$C$22)</f>
        <v>968892</v>
      </c>
      <c r="M8" s="55"/>
      <c r="N8" s="55"/>
      <c r="O8" s="55"/>
      <c r="P8" s="57">
        <f>GETPIVOTDATA("[Measures].[Variance %]",$C$22)</f>
        <v>9.5000495155807399E-2</v>
      </c>
      <c r="Q8" s="55"/>
      <c r="R8" s="55"/>
      <c r="S8" s="55"/>
      <c r="T8" s="58" t="str">
        <f>C23</f>
        <v>Marketing</v>
      </c>
      <c r="U8" s="55"/>
      <c r="V8" s="55"/>
      <c r="W8" s="55"/>
      <c r="X8" s="55"/>
      <c r="Y8" s="55"/>
    </row>
    <row r="9" spans="1:25" x14ac:dyDescent="0.3">
      <c r="A9" s="55"/>
      <c r="B9" s="55"/>
      <c r="C9" s="55"/>
      <c r="D9" s="55"/>
      <c r="E9" s="55"/>
      <c r="F9" s="55"/>
      <c r="G9" s="55"/>
      <c r="H9" s="55"/>
      <c r="I9" s="55"/>
      <c r="J9" s="55"/>
      <c r="K9" s="55"/>
      <c r="L9" s="55"/>
      <c r="M9" s="55"/>
      <c r="N9" s="55"/>
      <c r="O9" s="55"/>
      <c r="P9" s="55"/>
      <c r="Q9" s="55"/>
      <c r="R9" s="55"/>
      <c r="S9" s="55"/>
      <c r="T9" s="55"/>
      <c r="U9" s="55"/>
      <c r="V9" s="55"/>
      <c r="W9" s="55"/>
      <c r="X9" s="55"/>
      <c r="Y9" s="55"/>
    </row>
    <row r="10" spans="1:25" x14ac:dyDescent="0.3">
      <c r="A10" s="55"/>
      <c r="B10" s="55"/>
      <c r="C10" s="55"/>
      <c r="D10" s="55"/>
      <c r="E10" s="55"/>
      <c r="F10" s="55"/>
      <c r="G10" s="55"/>
      <c r="H10" s="55"/>
      <c r="I10" s="55"/>
      <c r="J10" s="55"/>
      <c r="K10" s="55"/>
      <c r="L10" s="55"/>
      <c r="M10" s="55"/>
      <c r="N10" s="55"/>
      <c r="O10" s="55"/>
      <c r="P10" s="55"/>
      <c r="Q10" s="55"/>
      <c r="R10" s="55"/>
      <c r="S10" s="55"/>
      <c r="T10" s="55"/>
      <c r="U10" s="55"/>
      <c r="V10" s="55"/>
      <c r="W10" s="55"/>
      <c r="X10" s="55"/>
      <c r="Y10" s="55"/>
    </row>
    <row r="11" spans="1:25" x14ac:dyDescent="0.3">
      <c r="A11" s="55"/>
      <c r="B11" s="55"/>
      <c r="C11" s="55"/>
      <c r="D11" s="55"/>
      <c r="E11" s="55"/>
      <c r="F11" s="55"/>
      <c r="G11" s="55"/>
      <c r="H11" s="55"/>
      <c r="I11" s="55"/>
      <c r="J11" s="55"/>
      <c r="K11" s="55"/>
      <c r="L11" s="55"/>
      <c r="M11" s="55"/>
      <c r="N11" s="55"/>
      <c r="O11" s="55"/>
      <c r="P11" s="55"/>
      <c r="Q11" s="55"/>
      <c r="R11" s="55"/>
      <c r="S11" s="55"/>
      <c r="T11" s="55"/>
      <c r="U11" s="55"/>
      <c r="V11" s="55"/>
      <c r="W11" s="55"/>
      <c r="X11" s="55"/>
      <c r="Y11" s="55"/>
    </row>
    <row r="12" spans="1:25"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row>
    <row r="13" spans="1:25" x14ac:dyDescent="0.3">
      <c r="A13" s="45"/>
      <c r="B13" s="45"/>
      <c r="C13" s="45"/>
      <c r="D13" s="45"/>
      <c r="E13" s="45"/>
      <c r="F13" s="45"/>
      <c r="G13" s="45"/>
      <c r="H13" s="45"/>
      <c r="I13" s="45"/>
      <c r="J13" s="45"/>
      <c r="K13" s="45"/>
      <c r="L13" s="45"/>
      <c r="M13" s="45"/>
      <c r="N13" s="45"/>
      <c r="O13" s="45"/>
      <c r="P13" s="45"/>
      <c r="Q13" s="45"/>
      <c r="R13" s="45"/>
      <c r="S13" s="45"/>
      <c r="T13" s="45"/>
      <c r="U13" s="45"/>
      <c r="V13" s="45"/>
      <c r="W13" s="45"/>
      <c r="X13" s="45"/>
      <c r="Y13" s="45"/>
    </row>
    <row r="14" spans="1:25" x14ac:dyDescent="0.3">
      <c r="A14" s="45"/>
      <c r="B14" s="45"/>
      <c r="C14" s="45"/>
      <c r="D14" s="45"/>
      <c r="E14" s="45"/>
      <c r="F14" s="45"/>
      <c r="G14" s="45"/>
      <c r="H14" s="45"/>
      <c r="I14" s="45"/>
      <c r="J14" s="45"/>
      <c r="K14" s="45"/>
      <c r="L14" s="45"/>
      <c r="M14" s="45"/>
      <c r="N14" s="45"/>
      <c r="O14" s="45"/>
      <c r="P14" s="45"/>
      <c r="Q14" s="45"/>
      <c r="R14" s="45"/>
      <c r="S14" s="45"/>
      <c r="T14" s="45"/>
      <c r="U14" s="45"/>
      <c r="V14" s="45"/>
      <c r="W14" s="45"/>
      <c r="X14" s="45"/>
      <c r="Y14" s="45"/>
    </row>
    <row r="15" spans="1:25" x14ac:dyDescent="0.3">
      <c r="A15" s="45"/>
      <c r="B15" s="45"/>
      <c r="C15" s="45"/>
      <c r="D15" s="45"/>
      <c r="E15" s="45"/>
      <c r="F15" s="45"/>
      <c r="G15" s="45"/>
      <c r="H15" s="45"/>
      <c r="I15" s="45"/>
      <c r="J15" s="45"/>
      <c r="K15" s="45"/>
      <c r="L15" s="45"/>
      <c r="M15" s="45"/>
      <c r="N15" s="45"/>
      <c r="O15" s="45"/>
      <c r="P15" s="45"/>
      <c r="Q15" s="45"/>
      <c r="R15" s="45"/>
      <c r="S15" s="45"/>
      <c r="T15" s="45"/>
      <c r="U15" s="45"/>
      <c r="V15" s="45"/>
      <c r="W15" s="45"/>
      <c r="X15" s="45"/>
      <c r="Y15" s="45"/>
    </row>
    <row r="16" spans="1:25" x14ac:dyDescent="0.3">
      <c r="A16" s="45"/>
      <c r="B16" s="45"/>
      <c r="C16" s="45"/>
      <c r="D16" s="45"/>
      <c r="E16" s="45"/>
      <c r="F16" s="45"/>
      <c r="G16" s="45"/>
      <c r="H16" s="45"/>
      <c r="I16" s="45"/>
      <c r="J16" s="45"/>
      <c r="K16" s="45"/>
      <c r="L16" s="45"/>
      <c r="M16" s="45"/>
      <c r="N16" s="45"/>
      <c r="O16" s="45"/>
      <c r="P16" s="45"/>
      <c r="Q16" s="45"/>
      <c r="R16" s="45"/>
      <c r="S16" s="45"/>
      <c r="T16" s="45"/>
      <c r="U16" s="45"/>
      <c r="V16" s="45"/>
      <c r="W16" s="45"/>
      <c r="X16" s="45"/>
      <c r="Y16" s="45"/>
    </row>
    <row r="17" spans="1:25" ht="23.4" x14ac:dyDescent="0.3">
      <c r="A17" s="45"/>
      <c r="B17" s="37"/>
      <c r="C17" s="38" t="s">
        <v>70</v>
      </c>
      <c r="D17" s="38"/>
      <c r="E17" s="38"/>
      <c r="F17" s="38"/>
      <c r="G17" s="38"/>
      <c r="H17" s="38"/>
      <c r="I17" s="41"/>
      <c r="J17" s="45"/>
      <c r="K17" s="35"/>
      <c r="L17" s="35"/>
      <c r="M17" s="35"/>
      <c r="N17" s="35"/>
      <c r="O17" s="45"/>
      <c r="P17" s="59" t="s">
        <v>74</v>
      </c>
      <c r="Q17" s="59"/>
      <c r="R17" s="59"/>
      <c r="S17" s="59"/>
      <c r="T17" s="59"/>
      <c r="U17" s="59"/>
      <c r="V17" s="59"/>
      <c r="W17" s="59"/>
      <c r="X17" s="59"/>
      <c r="Y17" s="45"/>
    </row>
    <row r="18" spans="1:25" ht="23.4" x14ac:dyDescent="0.3">
      <c r="A18" s="45"/>
      <c r="B18" s="37"/>
      <c r="C18" s="38"/>
      <c r="D18" s="38"/>
      <c r="E18" s="38"/>
      <c r="F18" s="38"/>
      <c r="G18" s="38"/>
      <c r="H18" s="38"/>
      <c r="I18" s="41"/>
      <c r="J18" s="45"/>
      <c r="K18" s="35"/>
      <c r="L18" s="36" t="s">
        <v>72</v>
      </c>
      <c r="M18" s="36"/>
      <c r="N18" s="47"/>
      <c r="O18" s="45"/>
      <c r="P18" s="59"/>
      <c r="Q18" s="59"/>
      <c r="R18" s="59"/>
      <c r="S18" s="59"/>
      <c r="T18" s="59"/>
      <c r="U18" s="59"/>
      <c r="V18" s="59"/>
      <c r="W18" s="59"/>
      <c r="X18" s="59"/>
      <c r="Y18" s="45"/>
    </row>
    <row r="19" spans="1:25" ht="23.4" x14ac:dyDescent="0.3">
      <c r="A19" s="45"/>
      <c r="B19" s="37"/>
      <c r="C19" s="38"/>
      <c r="D19" s="38"/>
      <c r="E19" s="38"/>
      <c r="F19" s="38"/>
      <c r="G19" s="38"/>
      <c r="H19" s="38"/>
      <c r="I19" s="41"/>
      <c r="J19" s="45"/>
      <c r="K19" s="35"/>
      <c r="L19" s="36"/>
      <c r="M19" s="36"/>
      <c r="N19" s="47"/>
      <c r="O19" s="45"/>
      <c r="P19" s="59"/>
      <c r="Q19" s="59"/>
      <c r="R19" s="59"/>
      <c r="S19" s="59"/>
      <c r="T19" s="59"/>
      <c r="U19" s="59"/>
      <c r="V19" s="59"/>
      <c r="W19" s="59"/>
      <c r="X19" s="59"/>
      <c r="Y19" s="45"/>
    </row>
    <row r="20" spans="1:25" ht="21" x14ac:dyDescent="0.3">
      <c r="A20" s="45"/>
      <c r="B20" s="37"/>
      <c r="C20" s="31" t="s">
        <v>66</v>
      </c>
      <c r="D20" t="s" vm="1">
        <v>67</v>
      </c>
      <c r="E20" s="37"/>
      <c r="F20" s="37"/>
      <c r="G20" s="37"/>
      <c r="H20" s="37"/>
      <c r="I20" s="37"/>
      <c r="J20" s="45"/>
      <c r="K20" s="35"/>
      <c r="L20" s="36"/>
      <c r="M20" s="36"/>
      <c r="N20" s="47"/>
      <c r="O20" s="45"/>
      <c r="P20" s="59"/>
      <c r="Q20" s="59"/>
      <c r="R20" s="59"/>
      <c r="S20" s="59"/>
      <c r="T20" s="59"/>
      <c r="U20" s="59"/>
      <c r="V20" s="59"/>
      <c r="W20" s="59"/>
      <c r="X20" s="59"/>
      <c r="Y20" s="45"/>
    </row>
    <row r="21" spans="1:25" x14ac:dyDescent="0.3">
      <c r="A21" s="45"/>
      <c r="B21" s="37"/>
      <c r="C21" s="37"/>
      <c r="D21" s="37"/>
      <c r="E21" s="37"/>
      <c r="F21" s="37"/>
      <c r="G21" s="37"/>
      <c r="H21" s="37"/>
      <c r="I21" s="37"/>
      <c r="J21" s="45"/>
      <c r="K21" s="35"/>
      <c r="L21" s="35"/>
      <c r="M21" s="35"/>
      <c r="N21" s="35"/>
      <c r="O21" s="45"/>
      <c r="P21" s="34"/>
      <c r="Q21" s="34"/>
      <c r="R21" s="34"/>
      <c r="S21" s="34"/>
      <c r="T21" s="34"/>
      <c r="U21" s="34"/>
      <c r="V21" s="34"/>
      <c r="W21" s="34"/>
      <c r="X21" s="34"/>
      <c r="Y21" s="45"/>
    </row>
    <row r="22" spans="1:25" x14ac:dyDescent="0.3">
      <c r="A22" s="45"/>
      <c r="B22" s="37"/>
      <c r="C22" s="31" t="s">
        <v>57</v>
      </c>
      <c r="D22" s="49" t="s">
        <v>59</v>
      </c>
      <c r="E22" s="49" t="s">
        <v>60</v>
      </c>
      <c r="F22" s="49" t="s">
        <v>61</v>
      </c>
      <c r="G22" s="51" t="s">
        <v>62</v>
      </c>
      <c r="H22" s="49" t="s">
        <v>63</v>
      </c>
      <c r="I22" s="37"/>
      <c r="J22" s="45"/>
      <c r="K22" s="35"/>
      <c r="L22" s="31" t="s">
        <v>57</v>
      </c>
      <c r="M22" s="49" t="s">
        <v>63</v>
      </c>
      <c r="N22" s="35"/>
      <c r="O22" s="45"/>
      <c r="P22" s="34"/>
      <c r="Q22" s="34"/>
      <c r="R22" s="34"/>
      <c r="S22" s="34"/>
      <c r="T22" s="34"/>
      <c r="U22" s="34"/>
      <c r="V22" s="34"/>
      <c r="W22" s="34"/>
      <c r="X22" s="34"/>
      <c r="Y22" s="45"/>
    </row>
    <row r="23" spans="1:25" x14ac:dyDescent="0.3">
      <c r="A23" s="45"/>
      <c r="B23" s="37"/>
      <c r="C23" s="53" t="s">
        <v>32</v>
      </c>
      <c r="D23" s="52">
        <v>1012436</v>
      </c>
      <c r="E23" s="52">
        <v>1274127</v>
      </c>
      <c r="F23" s="52">
        <v>261691</v>
      </c>
      <c r="G23" s="51">
        <v>0.2584765851866192</v>
      </c>
      <c r="H23" s="52">
        <v>371323.14</v>
      </c>
      <c r="I23" s="46"/>
      <c r="J23" s="45"/>
      <c r="K23" s="35"/>
      <c r="L23" s="53" t="s">
        <v>21</v>
      </c>
      <c r="M23" s="50">
        <v>462471.25</v>
      </c>
      <c r="N23" s="48"/>
      <c r="O23" s="45"/>
      <c r="P23" s="34"/>
      <c r="Q23" s="34"/>
      <c r="R23" s="34"/>
      <c r="S23" s="34"/>
      <c r="T23" s="34"/>
      <c r="U23" s="34"/>
      <c r="V23" s="34"/>
      <c r="W23" s="34"/>
      <c r="X23" s="34"/>
      <c r="Y23" s="45"/>
    </row>
    <row r="24" spans="1:25" x14ac:dyDescent="0.3">
      <c r="A24" s="45"/>
      <c r="B24" s="37"/>
      <c r="C24" s="53" t="s">
        <v>21</v>
      </c>
      <c r="D24" s="52">
        <v>1383869</v>
      </c>
      <c r="E24" s="52">
        <v>1574330</v>
      </c>
      <c r="F24" s="52">
        <v>190461</v>
      </c>
      <c r="G24" s="51">
        <v>0.13762935653591488</v>
      </c>
      <c r="H24" s="52">
        <v>462471.25</v>
      </c>
      <c r="I24" s="46"/>
      <c r="J24" s="45"/>
      <c r="K24" s="35"/>
      <c r="L24" s="53" t="s">
        <v>32</v>
      </c>
      <c r="M24" s="50">
        <v>371323.14</v>
      </c>
      <c r="N24" s="48"/>
      <c r="O24" s="45"/>
      <c r="P24" s="34"/>
      <c r="Q24" s="34"/>
      <c r="R24" s="34"/>
      <c r="S24" s="34"/>
      <c r="T24" s="34"/>
      <c r="U24" s="34"/>
      <c r="V24" s="34"/>
      <c r="W24" s="34"/>
      <c r="X24" s="34"/>
      <c r="Y24" s="45"/>
    </row>
    <row r="25" spans="1:25" x14ac:dyDescent="0.3">
      <c r="A25" s="45"/>
      <c r="B25" s="37"/>
      <c r="C25" s="53" t="s">
        <v>18</v>
      </c>
      <c r="D25" s="52">
        <v>1075428</v>
      </c>
      <c r="E25" s="52">
        <v>1206046</v>
      </c>
      <c r="F25" s="52">
        <v>130618</v>
      </c>
      <c r="G25" s="51">
        <v>0.1214567595413175</v>
      </c>
      <c r="H25" s="52">
        <v>315921.01</v>
      </c>
      <c r="I25" s="46"/>
      <c r="J25" s="45"/>
      <c r="K25" s="35"/>
      <c r="L25" s="53" t="s">
        <v>18</v>
      </c>
      <c r="M25" s="50">
        <v>315921.01</v>
      </c>
      <c r="N25" s="48"/>
      <c r="O25" s="45"/>
      <c r="P25" s="34"/>
      <c r="Q25" s="34"/>
      <c r="R25" s="34"/>
      <c r="S25" s="34"/>
      <c r="T25" s="34"/>
      <c r="U25" s="34"/>
      <c r="V25" s="34"/>
      <c r="W25" s="34"/>
      <c r="X25" s="34"/>
      <c r="Y25" s="45"/>
    </row>
    <row r="26" spans="1:25" x14ac:dyDescent="0.3">
      <c r="A26" s="45"/>
      <c r="B26" s="37"/>
      <c r="C26" s="53" t="s">
        <v>27</v>
      </c>
      <c r="D26" s="52">
        <v>963423</v>
      </c>
      <c r="E26" s="52">
        <v>1073219</v>
      </c>
      <c r="F26" s="52">
        <v>109796</v>
      </c>
      <c r="G26" s="51">
        <v>0.11396447873883019</v>
      </c>
      <c r="H26" s="52">
        <v>297378.95</v>
      </c>
      <c r="I26" s="46"/>
      <c r="J26" s="45"/>
      <c r="K26" s="35"/>
      <c r="L26" s="53" t="s">
        <v>27</v>
      </c>
      <c r="M26" s="50">
        <v>297378.95</v>
      </c>
      <c r="N26" s="48"/>
      <c r="O26" s="45"/>
      <c r="P26" s="34"/>
      <c r="Q26" s="34"/>
      <c r="R26" s="34"/>
      <c r="S26" s="34"/>
      <c r="T26" s="34"/>
      <c r="U26" s="34"/>
      <c r="V26" s="34"/>
      <c r="W26" s="34"/>
      <c r="X26" s="34"/>
      <c r="Y26" s="45"/>
    </row>
    <row r="27" spans="1:25" x14ac:dyDescent="0.3">
      <c r="A27" s="45"/>
      <c r="B27" s="37"/>
      <c r="C27" s="53" t="s">
        <v>28</v>
      </c>
      <c r="D27" s="52">
        <v>1081374</v>
      </c>
      <c r="E27" s="52">
        <v>1185850</v>
      </c>
      <c r="F27" s="52">
        <v>104476</v>
      </c>
      <c r="G27" s="51">
        <v>9.6614122403534758E-2</v>
      </c>
      <c r="H27" s="52">
        <v>295359.33</v>
      </c>
      <c r="I27" s="46"/>
      <c r="J27" s="45"/>
      <c r="K27" s="35"/>
      <c r="L27" s="53" t="s">
        <v>28</v>
      </c>
      <c r="M27" s="50">
        <v>295359.33</v>
      </c>
      <c r="N27" s="48"/>
      <c r="O27" s="45"/>
      <c r="P27" s="34"/>
      <c r="Q27" s="34"/>
      <c r="R27" s="34"/>
      <c r="S27" s="34"/>
      <c r="T27" s="34"/>
      <c r="U27" s="34"/>
      <c r="V27" s="34"/>
      <c r="W27" s="34"/>
      <c r="X27" s="34"/>
      <c r="Y27" s="45"/>
    </row>
    <row r="28" spans="1:25" x14ac:dyDescent="0.3">
      <c r="A28" s="45"/>
      <c r="B28" s="37"/>
      <c r="C28" s="53" t="s">
        <v>29</v>
      </c>
      <c r="D28" s="52">
        <v>941421</v>
      </c>
      <c r="E28" s="52">
        <v>1045803</v>
      </c>
      <c r="F28" s="52">
        <v>104382</v>
      </c>
      <c r="G28" s="51">
        <v>0.11087706775183473</v>
      </c>
      <c r="H28" s="52">
        <v>231072.82</v>
      </c>
      <c r="I28" s="46"/>
      <c r="J28" s="45"/>
      <c r="K28" s="35"/>
      <c r="L28" s="53" t="s">
        <v>31</v>
      </c>
      <c r="M28" s="50">
        <v>242484.39</v>
      </c>
      <c r="N28" s="48"/>
      <c r="O28" s="45"/>
      <c r="P28" s="34"/>
      <c r="Q28" s="34"/>
      <c r="R28" s="34"/>
      <c r="S28" s="34"/>
      <c r="T28" s="34"/>
      <c r="U28" s="34"/>
      <c r="V28" s="34"/>
      <c r="W28" s="34"/>
      <c r="X28" s="34"/>
      <c r="Y28" s="45"/>
    </row>
    <row r="29" spans="1:25" x14ac:dyDescent="0.3">
      <c r="A29" s="45"/>
      <c r="B29" s="37"/>
      <c r="C29" s="53" t="s">
        <v>25</v>
      </c>
      <c r="D29" s="52">
        <v>976400</v>
      </c>
      <c r="E29" s="52">
        <v>1041339</v>
      </c>
      <c r="F29" s="52">
        <v>64939</v>
      </c>
      <c r="G29" s="51">
        <v>6.6508603031544447E-2</v>
      </c>
      <c r="H29" s="52">
        <v>212439.78</v>
      </c>
      <c r="I29" s="46"/>
      <c r="J29" s="45"/>
      <c r="K29" s="35"/>
      <c r="L29" s="53" t="s">
        <v>13</v>
      </c>
      <c r="M29" s="50">
        <v>241838.62</v>
      </c>
      <c r="N29" s="48"/>
      <c r="O29" s="45"/>
      <c r="P29" s="34"/>
      <c r="Q29" s="34"/>
      <c r="R29" s="34"/>
      <c r="S29" s="34"/>
      <c r="T29" s="34"/>
      <c r="U29" s="34"/>
      <c r="V29" s="34"/>
      <c r="W29" s="34"/>
      <c r="X29" s="34"/>
      <c r="Y29" s="45"/>
    </row>
    <row r="30" spans="1:25" x14ac:dyDescent="0.3">
      <c r="A30" s="45"/>
      <c r="B30" s="37"/>
      <c r="C30" s="53" t="s">
        <v>31</v>
      </c>
      <c r="D30" s="52">
        <v>942434</v>
      </c>
      <c r="E30" s="52">
        <v>993694</v>
      </c>
      <c r="F30" s="52">
        <v>51260</v>
      </c>
      <c r="G30" s="51">
        <v>5.4391076722614E-2</v>
      </c>
      <c r="H30" s="52">
        <v>242484.39</v>
      </c>
      <c r="I30" s="46"/>
      <c r="J30" s="45"/>
      <c r="K30" s="35"/>
      <c r="L30" s="53" t="s">
        <v>29</v>
      </c>
      <c r="M30" s="50">
        <v>231072.82</v>
      </c>
      <c r="N30" s="48"/>
      <c r="O30" s="45"/>
      <c r="P30" s="34"/>
      <c r="Q30" s="34"/>
      <c r="R30" s="34"/>
      <c r="S30" s="34"/>
      <c r="T30" s="34"/>
      <c r="U30" s="34"/>
      <c r="V30" s="34"/>
      <c r="W30" s="34"/>
      <c r="X30" s="34"/>
      <c r="Y30" s="45"/>
    </row>
    <row r="31" spans="1:25" x14ac:dyDescent="0.3">
      <c r="A31" s="45"/>
      <c r="B31" s="37"/>
      <c r="C31" s="53" t="s">
        <v>26</v>
      </c>
      <c r="D31" s="52">
        <v>825806</v>
      </c>
      <c r="E31" s="52">
        <v>869186</v>
      </c>
      <c r="F31" s="52">
        <v>43380</v>
      </c>
      <c r="G31" s="51">
        <v>5.253049747761581E-2</v>
      </c>
      <c r="H31" s="52">
        <v>175265.2</v>
      </c>
      <c r="I31" s="46"/>
      <c r="J31" s="45"/>
      <c r="K31" s="35"/>
      <c r="L31" s="53" t="s">
        <v>25</v>
      </c>
      <c r="M31" s="50">
        <v>212439.78</v>
      </c>
      <c r="N31" s="48"/>
      <c r="O31" s="45"/>
      <c r="P31" s="34"/>
      <c r="Q31" s="34"/>
      <c r="R31" s="34"/>
      <c r="S31" s="34"/>
      <c r="T31" s="34"/>
      <c r="U31" s="34"/>
      <c r="V31" s="34"/>
      <c r="W31" s="34"/>
      <c r="X31" s="34"/>
      <c r="Y31" s="45"/>
    </row>
    <row r="32" spans="1:25" x14ac:dyDescent="0.3">
      <c r="A32" s="45"/>
      <c r="B32" s="37"/>
      <c r="C32" s="53" t="s">
        <v>13</v>
      </c>
      <c r="D32" s="52">
        <v>996219</v>
      </c>
      <c r="E32" s="52">
        <v>904108</v>
      </c>
      <c r="F32" s="52">
        <v>-92111</v>
      </c>
      <c r="G32" s="51">
        <v>-9.2460593504038777E-2</v>
      </c>
      <c r="H32" s="52">
        <v>241838.62</v>
      </c>
      <c r="I32" s="46"/>
      <c r="J32" s="45"/>
      <c r="K32" s="35"/>
      <c r="L32" s="53" t="s">
        <v>26</v>
      </c>
      <c r="M32" s="50">
        <v>175265.2</v>
      </c>
      <c r="N32" s="48"/>
      <c r="O32" s="45"/>
      <c r="P32" s="34"/>
      <c r="Q32" s="34"/>
      <c r="R32" s="34"/>
      <c r="S32" s="34"/>
      <c r="T32" s="34"/>
      <c r="U32" s="34"/>
      <c r="V32" s="34"/>
      <c r="W32" s="34"/>
      <c r="X32" s="34"/>
      <c r="Y32" s="45"/>
    </row>
    <row r="33" spans="1:25" x14ac:dyDescent="0.3">
      <c r="A33" s="45"/>
      <c r="B33" s="37"/>
      <c r="C33" s="32" t="s">
        <v>58</v>
      </c>
      <c r="D33" s="52">
        <v>10198810</v>
      </c>
      <c r="E33" s="52">
        <v>11167702</v>
      </c>
      <c r="F33" s="52">
        <v>968892</v>
      </c>
      <c r="G33" s="51">
        <v>9.5000495155807399E-2</v>
      </c>
      <c r="H33" s="52">
        <v>2845554.49</v>
      </c>
      <c r="I33" s="46"/>
      <c r="J33" s="45"/>
      <c r="K33" s="35"/>
      <c r="L33" s="32" t="s">
        <v>58</v>
      </c>
      <c r="M33" s="50">
        <v>2845554.49</v>
      </c>
      <c r="N33" s="48"/>
      <c r="O33" s="45"/>
      <c r="P33" s="34"/>
      <c r="Q33" s="34"/>
      <c r="R33" s="34"/>
      <c r="S33" s="34"/>
      <c r="T33" s="34"/>
      <c r="U33" s="34"/>
      <c r="V33" s="34"/>
      <c r="W33" s="34"/>
      <c r="X33" s="34"/>
      <c r="Y33" s="45"/>
    </row>
    <row r="34" spans="1:25" x14ac:dyDescent="0.3">
      <c r="A34" s="45"/>
      <c r="B34" s="37"/>
      <c r="C34" s="37"/>
      <c r="D34" s="37"/>
      <c r="E34" s="37"/>
      <c r="F34" s="37"/>
      <c r="G34" s="37"/>
      <c r="H34" s="37"/>
      <c r="I34" s="37"/>
      <c r="J34" s="45"/>
      <c r="K34" s="35"/>
      <c r="L34" s="35"/>
      <c r="M34" s="35"/>
      <c r="N34" s="35"/>
      <c r="O34" s="45"/>
      <c r="P34" s="34"/>
      <c r="Q34" s="34"/>
      <c r="R34" s="34"/>
      <c r="S34" s="34"/>
      <c r="T34" s="34"/>
      <c r="U34" s="34"/>
      <c r="V34" s="34"/>
      <c r="W34" s="34"/>
      <c r="X34" s="34"/>
      <c r="Y34" s="45"/>
    </row>
    <row r="35" spans="1:25" x14ac:dyDescent="0.3">
      <c r="A35" s="45"/>
      <c r="B35" s="37"/>
      <c r="C35" s="37"/>
      <c r="D35" s="37"/>
      <c r="E35" s="37"/>
      <c r="F35" s="37"/>
      <c r="G35" s="37"/>
      <c r="H35" s="37"/>
      <c r="I35" s="37"/>
      <c r="J35" s="45"/>
      <c r="K35" s="35"/>
      <c r="L35" s="35"/>
      <c r="M35" s="35"/>
      <c r="N35" s="35"/>
      <c r="O35" s="45"/>
      <c r="P35" s="34"/>
      <c r="Q35" s="34"/>
      <c r="R35" s="34"/>
      <c r="S35" s="34"/>
      <c r="T35" s="34"/>
      <c r="U35" s="34"/>
      <c r="V35" s="34"/>
      <c r="W35" s="34"/>
      <c r="X35" s="34"/>
      <c r="Y35" s="45"/>
    </row>
    <row r="36" spans="1:25" x14ac:dyDescent="0.3">
      <c r="A36" s="45"/>
      <c r="B36" s="45"/>
      <c r="C36" s="45"/>
      <c r="D36" s="45"/>
      <c r="E36" s="45"/>
      <c r="F36" s="45"/>
      <c r="G36" s="45"/>
      <c r="H36" s="45"/>
      <c r="I36" s="45"/>
      <c r="J36" s="45"/>
      <c r="K36" s="45"/>
      <c r="L36" s="45"/>
      <c r="M36" s="45"/>
      <c r="N36" s="45"/>
      <c r="O36" s="45"/>
      <c r="P36" s="45"/>
      <c r="Q36" s="45"/>
      <c r="R36" s="45"/>
      <c r="S36" s="45"/>
      <c r="T36" s="45"/>
      <c r="U36" s="45"/>
      <c r="V36" s="45"/>
      <c r="W36" s="45"/>
      <c r="X36" s="45"/>
      <c r="Y36" s="45"/>
    </row>
    <row r="37" spans="1:25" ht="23.4" x14ac:dyDescent="0.3">
      <c r="A37" s="45"/>
      <c r="B37" s="39"/>
      <c r="C37" s="40" t="s">
        <v>71</v>
      </c>
      <c r="D37" s="40"/>
      <c r="E37" s="40"/>
      <c r="F37" s="40"/>
      <c r="G37" s="40"/>
      <c r="H37" s="40"/>
      <c r="I37" s="42"/>
      <c r="J37" s="45"/>
      <c r="K37" s="43"/>
      <c r="L37" s="44" t="s">
        <v>73</v>
      </c>
      <c r="M37" s="44"/>
      <c r="N37" s="44"/>
      <c r="O37" s="44"/>
      <c r="P37" s="44"/>
      <c r="Q37" s="44"/>
      <c r="R37" s="44"/>
      <c r="S37" s="44"/>
      <c r="T37" s="44"/>
      <c r="U37" s="44"/>
      <c r="V37" s="44"/>
      <c r="W37" s="44"/>
      <c r="X37" s="44"/>
      <c r="Y37" s="45"/>
    </row>
    <row r="38" spans="1:25" ht="23.4" x14ac:dyDescent="0.3">
      <c r="A38" s="45"/>
      <c r="B38" s="39"/>
      <c r="C38" s="40"/>
      <c r="D38" s="40"/>
      <c r="E38" s="40"/>
      <c r="F38" s="40"/>
      <c r="G38" s="40"/>
      <c r="H38" s="40"/>
      <c r="I38" s="42"/>
      <c r="J38" s="45"/>
      <c r="K38" s="43"/>
      <c r="L38" s="44"/>
      <c r="M38" s="44"/>
      <c r="N38" s="44"/>
      <c r="O38" s="44"/>
      <c r="P38" s="44"/>
      <c r="Q38" s="44"/>
      <c r="R38" s="44"/>
      <c r="S38" s="44"/>
      <c r="T38" s="44"/>
      <c r="U38" s="44"/>
      <c r="V38" s="44"/>
      <c r="W38" s="44"/>
      <c r="X38" s="44"/>
      <c r="Y38" s="45"/>
    </row>
    <row r="39" spans="1:25" ht="23.4" x14ac:dyDescent="0.3">
      <c r="A39" s="45"/>
      <c r="B39" s="39"/>
      <c r="C39" s="40"/>
      <c r="D39" s="40"/>
      <c r="E39" s="40"/>
      <c r="F39" s="40"/>
      <c r="G39" s="40"/>
      <c r="H39" s="40"/>
      <c r="I39" s="42"/>
      <c r="J39" s="45"/>
      <c r="K39" s="43"/>
      <c r="L39" s="44"/>
      <c r="M39" s="44"/>
      <c r="N39" s="44"/>
      <c r="O39" s="44"/>
      <c r="P39" s="44"/>
      <c r="Q39" s="44"/>
      <c r="R39" s="44"/>
      <c r="S39" s="44"/>
      <c r="T39" s="44"/>
      <c r="U39" s="44"/>
      <c r="V39" s="44"/>
      <c r="W39" s="44"/>
      <c r="X39" s="44"/>
      <c r="Y39" s="45"/>
    </row>
    <row r="40" spans="1:25" ht="23.4" x14ac:dyDescent="0.3">
      <c r="A40" s="45"/>
      <c r="B40" s="39"/>
      <c r="C40" s="40"/>
      <c r="D40" s="40"/>
      <c r="E40" s="40"/>
      <c r="F40" s="40"/>
      <c r="G40" s="40"/>
      <c r="H40" s="40"/>
      <c r="I40" s="42"/>
      <c r="J40" s="45"/>
      <c r="K40" s="43"/>
      <c r="L40" s="43"/>
      <c r="M40" s="43"/>
      <c r="N40" s="43"/>
      <c r="O40" s="43"/>
      <c r="P40" s="43"/>
      <c r="Q40" s="43"/>
      <c r="R40" s="43"/>
      <c r="S40" s="43"/>
      <c r="T40" s="43"/>
      <c r="U40" s="43"/>
      <c r="V40" s="43"/>
      <c r="W40" s="43"/>
      <c r="X40" s="43"/>
      <c r="Y40" s="45"/>
    </row>
    <row r="41" spans="1:25" x14ac:dyDescent="0.3">
      <c r="A41" s="45"/>
      <c r="B41" s="39"/>
      <c r="C41" s="39"/>
      <c r="D41" s="31" t="s">
        <v>61</v>
      </c>
      <c r="E41" s="31" t="s">
        <v>64</v>
      </c>
      <c r="H41" s="39"/>
      <c r="I41" s="39"/>
      <c r="J41" s="45"/>
      <c r="K41" s="43"/>
      <c r="L41" s="43"/>
      <c r="M41" s="43"/>
      <c r="N41" s="43"/>
      <c r="O41" s="43"/>
      <c r="P41" s="43"/>
      <c r="Q41" s="43"/>
      <c r="R41" s="43"/>
      <c r="S41" s="43"/>
      <c r="T41" s="43"/>
      <c r="U41" s="43"/>
      <c r="V41" s="43"/>
      <c r="W41" s="43"/>
      <c r="X41" s="43"/>
      <c r="Y41" s="45"/>
    </row>
    <row r="42" spans="1:25" x14ac:dyDescent="0.3">
      <c r="A42" s="45"/>
      <c r="B42" s="39"/>
      <c r="C42" s="39"/>
      <c r="D42" s="31" t="s">
        <v>57</v>
      </c>
      <c r="E42" s="49" t="s">
        <v>68</v>
      </c>
      <c r="F42" s="49" t="s">
        <v>69</v>
      </c>
      <c r="G42" s="49" t="s">
        <v>58</v>
      </c>
      <c r="H42" s="39"/>
      <c r="I42" s="39"/>
      <c r="J42" s="45"/>
      <c r="K42" s="43"/>
      <c r="L42" s="43"/>
      <c r="M42" s="43"/>
      <c r="N42" s="43"/>
      <c r="O42" s="43"/>
      <c r="P42" s="43"/>
      <c r="Q42" s="43"/>
      <c r="R42" s="43"/>
      <c r="S42" s="43"/>
      <c r="T42" s="43"/>
      <c r="U42" s="43"/>
      <c r="V42" s="43"/>
      <c r="W42" s="43"/>
      <c r="X42" s="43"/>
      <c r="Y42" s="45"/>
    </row>
    <row r="43" spans="1:25" x14ac:dyDescent="0.3">
      <c r="A43" s="45"/>
      <c r="B43" s="39"/>
      <c r="C43" s="39"/>
      <c r="D43" s="53" t="s">
        <v>25</v>
      </c>
      <c r="E43" s="50">
        <v>158197</v>
      </c>
      <c r="F43" s="50">
        <v>-93258</v>
      </c>
      <c r="G43" s="50">
        <v>64939</v>
      </c>
      <c r="H43" s="39"/>
      <c r="I43" s="39"/>
      <c r="J43" s="45"/>
      <c r="K43" s="43"/>
      <c r="L43" s="43"/>
      <c r="M43" s="43"/>
      <c r="N43" s="43"/>
      <c r="O43" s="43"/>
      <c r="P43" s="43"/>
      <c r="Q43" s="43"/>
      <c r="R43" s="43"/>
      <c r="S43" s="43"/>
      <c r="T43" s="43"/>
      <c r="U43" s="43"/>
      <c r="V43" s="43"/>
      <c r="W43" s="43"/>
      <c r="X43" s="43"/>
      <c r="Y43" s="45"/>
    </row>
    <row r="44" spans="1:25" x14ac:dyDescent="0.3">
      <c r="A44" s="45"/>
      <c r="B44" s="39"/>
      <c r="C44" s="39"/>
      <c r="D44" s="53" t="s">
        <v>27</v>
      </c>
      <c r="E44" s="50">
        <v>151265</v>
      </c>
      <c r="F44" s="50">
        <v>-41469</v>
      </c>
      <c r="G44" s="50">
        <v>109796</v>
      </c>
      <c r="H44" s="39"/>
      <c r="I44" s="39"/>
      <c r="J44" s="45"/>
      <c r="K44" s="43"/>
      <c r="L44" s="43"/>
      <c r="M44" s="43"/>
      <c r="N44" s="43"/>
      <c r="O44" s="43"/>
      <c r="P44" s="43"/>
      <c r="Q44" s="43"/>
      <c r="R44" s="43"/>
      <c r="S44" s="43"/>
      <c r="T44" s="43"/>
      <c r="U44" s="43"/>
      <c r="V44" s="43"/>
      <c r="W44" s="43"/>
      <c r="X44" s="43"/>
      <c r="Y44" s="45"/>
    </row>
    <row r="45" spans="1:25" x14ac:dyDescent="0.3">
      <c r="A45" s="45"/>
      <c r="B45" s="39"/>
      <c r="C45" s="39"/>
      <c r="D45" s="53" t="s">
        <v>21</v>
      </c>
      <c r="E45" s="50">
        <v>292312</v>
      </c>
      <c r="F45" s="50">
        <v>-101851</v>
      </c>
      <c r="G45" s="50">
        <v>190461</v>
      </c>
      <c r="H45" s="39"/>
      <c r="I45" s="39"/>
      <c r="J45" s="45"/>
      <c r="K45" s="43"/>
      <c r="L45" s="43"/>
      <c r="M45" s="43"/>
      <c r="N45" s="43"/>
      <c r="O45" s="43"/>
      <c r="P45" s="43"/>
      <c r="Q45" s="43"/>
      <c r="R45" s="43"/>
      <c r="S45" s="43"/>
      <c r="T45" s="43"/>
      <c r="U45" s="43"/>
      <c r="V45" s="43"/>
      <c r="W45" s="43"/>
      <c r="X45" s="43"/>
      <c r="Y45" s="45"/>
    </row>
    <row r="46" spans="1:25" x14ac:dyDescent="0.3">
      <c r="A46" s="45"/>
      <c r="B46" s="39"/>
      <c r="C46" s="39"/>
      <c r="D46" s="53" t="s">
        <v>32</v>
      </c>
      <c r="E46" s="50">
        <v>291236</v>
      </c>
      <c r="F46" s="50">
        <v>-29545</v>
      </c>
      <c r="G46" s="50">
        <v>261691</v>
      </c>
      <c r="H46" s="39"/>
      <c r="I46" s="39"/>
      <c r="J46" s="45"/>
      <c r="K46" s="43"/>
      <c r="L46" s="43"/>
      <c r="M46" s="43"/>
      <c r="N46" s="43"/>
      <c r="O46" s="43"/>
      <c r="P46" s="43"/>
      <c r="Q46" s="43"/>
      <c r="R46" s="43"/>
      <c r="S46" s="43"/>
      <c r="T46" s="43"/>
      <c r="U46" s="43"/>
      <c r="V46" s="43"/>
      <c r="W46" s="43"/>
      <c r="X46" s="43"/>
      <c r="Y46" s="45"/>
    </row>
    <row r="47" spans="1:25" x14ac:dyDescent="0.3">
      <c r="A47" s="45"/>
      <c r="B47" s="39"/>
      <c r="C47" s="39"/>
      <c r="D47" s="53" t="s">
        <v>18</v>
      </c>
      <c r="E47" s="50">
        <v>203883</v>
      </c>
      <c r="F47" s="50">
        <v>-73265</v>
      </c>
      <c r="G47" s="50">
        <v>130618</v>
      </c>
      <c r="H47" s="39"/>
      <c r="I47" s="39"/>
      <c r="J47" s="45"/>
      <c r="K47" s="43"/>
      <c r="L47" s="43"/>
      <c r="M47" s="43"/>
      <c r="N47" s="43"/>
      <c r="O47" s="43"/>
      <c r="P47" s="43"/>
      <c r="Q47" s="43"/>
      <c r="R47" s="43"/>
      <c r="S47" s="43"/>
      <c r="T47" s="43"/>
      <c r="U47" s="43"/>
      <c r="V47" s="43"/>
      <c r="W47" s="43"/>
      <c r="X47" s="43"/>
      <c r="Y47" s="45"/>
    </row>
    <row r="48" spans="1:25" x14ac:dyDescent="0.3">
      <c r="A48" s="45"/>
      <c r="B48" s="39"/>
      <c r="C48" s="39"/>
      <c r="D48" s="53" t="s">
        <v>28</v>
      </c>
      <c r="E48" s="50">
        <v>236335</v>
      </c>
      <c r="F48" s="50">
        <v>-131859</v>
      </c>
      <c r="G48" s="50">
        <v>104476</v>
      </c>
      <c r="H48" s="39"/>
      <c r="I48" s="39"/>
      <c r="J48" s="45"/>
      <c r="K48" s="43"/>
      <c r="L48" s="43"/>
      <c r="M48" s="43"/>
      <c r="N48" s="43"/>
      <c r="O48" s="43"/>
      <c r="P48" s="43"/>
      <c r="Q48" s="43"/>
      <c r="R48" s="43"/>
      <c r="S48" s="43"/>
      <c r="T48" s="43"/>
      <c r="U48" s="43"/>
      <c r="V48" s="43"/>
      <c r="W48" s="43"/>
      <c r="X48" s="43"/>
      <c r="Y48" s="45"/>
    </row>
    <row r="49" spans="1:25" x14ac:dyDescent="0.3">
      <c r="A49" s="45"/>
      <c r="B49" s="39"/>
      <c r="C49" s="39"/>
      <c r="D49" s="53" t="s">
        <v>13</v>
      </c>
      <c r="E49" s="50">
        <v>72224</v>
      </c>
      <c r="F49" s="50">
        <v>-164335</v>
      </c>
      <c r="G49" s="50">
        <v>-92111</v>
      </c>
      <c r="H49" s="39"/>
      <c r="I49" s="39"/>
      <c r="J49" s="45"/>
      <c r="K49" s="43"/>
      <c r="L49" s="43"/>
      <c r="M49" s="43"/>
      <c r="N49" s="43"/>
      <c r="O49" s="43"/>
      <c r="P49" s="43"/>
      <c r="Q49" s="43"/>
      <c r="R49" s="43"/>
      <c r="S49" s="43"/>
      <c r="T49" s="43"/>
      <c r="U49" s="43"/>
      <c r="V49" s="43"/>
      <c r="W49" s="43"/>
      <c r="X49" s="43"/>
      <c r="Y49" s="45"/>
    </row>
    <row r="50" spans="1:25" x14ac:dyDescent="0.3">
      <c r="A50" s="45"/>
      <c r="B50" s="39"/>
      <c r="C50" s="39"/>
      <c r="D50" s="53" t="s">
        <v>31</v>
      </c>
      <c r="E50" s="50">
        <v>180563</v>
      </c>
      <c r="F50" s="50">
        <v>-129303</v>
      </c>
      <c r="G50" s="50">
        <v>51260</v>
      </c>
      <c r="H50" s="39"/>
      <c r="I50" s="39"/>
      <c r="J50" s="45"/>
      <c r="K50" s="43"/>
      <c r="L50" s="43"/>
      <c r="M50" s="43"/>
      <c r="N50" s="43"/>
      <c r="O50" s="43"/>
      <c r="P50" s="43"/>
      <c r="Q50" s="43"/>
      <c r="R50" s="43"/>
      <c r="S50" s="43"/>
      <c r="T50" s="43"/>
      <c r="U50" s="43"/>
      <c r="V50" s="43"/>
      <c r="W50" s="43"/>
      <c r="X50" s="43"/>
      <c r="Y50" s="45"/>
    </row>
    <row r="51" spans="1:25" x14ac:dyDescent="0.3">
      <c r="A51" s="45"/>
      <c r="B51" s="39"/>
      <c r="C51" s="39"/>
      <c r="D51" s="53" t="s">
        <v>29</v>
      </c>
      <c r="E51" s="50">
        <v>155523</v>
      </c>
      <c r="F51" s="50">
        <v>-51141</v>
      </c>
      <c r="G51" s="50">
        <v>104382</v>
      </c>
      <c r="H51" s="39"/>
      <c r="I51" s="39"/>
      <c r="J51" s="45"/>
      <c r="K51" s="43"/>
      <c r="L51" s="43"/>
      <c r="M51" s="43"/>
      <c r="N51" s="43"/>
      <c r="O51" s="43"/>
      <c r="P51" s="43"/>
      <c r="Q51" s="43"/>
      <c r="R51" s="43"/>
      <c r="S51" s="43"/>
      <c r="T51" s="43"/>
      <c r="U51" s="43"/>
      <c r="V51" s="43"/>
      <c r="W51" s="43"/>
      <c r="X51" s="43"/>
      <c r="Y51" s="45"/>
    </row>
    <row r="52" spans="1:25" x14ac:dyDescent="0.3">
      <c r="A52" s="45"/>
      <c r="B52" s="39"/>
      <c r="C52" s="39"/>
      <c r="D52" s="53" t="s">
        <v>26</v>
      </c>
      <c r="E52" s="50">
        <v>122146</v>
      </c>
      <c r="F52" s="50">
        <v>-78766</v>
      </c>
      <c r="G52" s="50">
        <v>43380</v>
      </c>
      <c r="H52" s="39"/>
      <c r="I52" s="39"/>
      <c r="J52" s="45"/>
      <c r="K52" s="43"/>
      <c r="L52" s="43"/>
      <c r="M52" s="43"/>
      <c r="N52" s="43"/>
      <c r="O52" s="43"/>
      <c r="P52" s="43"/>
      <c r="Q52" s="43"/>
      <c r="R52" s="43"/>
      <c r="S52" s="43"/>
      <c r="T52" s="43"/>
      <c r="U52" s="43"/>
      <c r="V52" s="43"/>
      <c r="W52" s="43"/>
      <c r="X52" s="43"/>
      <c r="Y52" s="45"/>
    </row>
    <row r="53" spans="1:25" x14ac:dyDescent="0.3">
      <c r="A53" s="45"/>
      <c r="B53" s="39"/>
      <c r="C53" s="39"/>
      <c r="D53" s="32" t="s">
        <v>58</v>
      </c>
      <c r="E53" s="50">
        <v>1863684</v>
      </c>
      <c r="F53" s="50">
        <v>-894792</v>
      </c>
      <c r="G53" s="50">
        <v>968892</v>
      </c>
      <c r="H53" s="39"/>
      <c r="I53" s="39"/>
      <c r="J53" s="45"/>
      <c r="K53" s="43"/>
      <c r="L53" s="43"/>
      <c r="M53" s="43"/>
      <c r="N53" s="43"/>
      <c r="O53" s="43"/>
      <c r="P53" s="43"/>
      <c r="Q53" s="43"/>
      <c r="R53" s="43"/>
      <c r="S53" s="43"/>
      <c r="T53" s="43"/>
      <c r="U53" s="43"/>
      <c r="V53" s="43"/>
      <c r="W53" s="43"/>
      <c r="X53" s="43"/>
      <c r="Y53" s="45"/>
    </row>
    <row r="54" spans="1:25" x14ac:dyDescent="0.3">
      <c r="A54" s="45"/>
      <c r="B54" s="39"/>
      <c r="C54" s="39"/>
      <c r="D54" s="39"/>
      <c r="E54" s="39"/>
      <c r="F54" s="39"/>
      <c r="G54" s="39"/>
      <c r="H54" s="39"/>
      <c r="I54" s="39"/>
      <c r="J54" s="45"/>
      <c r="K54" s="43"/>
      <c r="L54" s="43"/>
      <c r="M54" s="43"/>
      <c r="N54" s="43"/>
      <c r="O54" s="43"/>
      <c r="P54" s="43"/>
      <c r="Q54" s="43"/>
      <c r="R54" s="43"/>
      <c r="S54" s="43"/>
      <c r="T54" s="43"/>
      <c r="U54" s="43"/>
      <c r="V54" s="43"/>
      <c r="W54" s="43"/>
      <c r="X54" s="43"/>
      <c r="Y54" s="45"/>
    </row>
    <row r="55" spans="1:25" x14ac:dyDescent="0.3">
      <c r="A55" s="45"/>
      <c r="B55" s="39"/>
      <c r="C55" s="39"/>
      <c r="D55" s="39"/>
      <c r="E55" s="39"/>
      <c r="F55" s="39"/>
      <c r="G55" s="39"/>
      <c r="H55" s="39"/>
      <c r="I55" s="39"/>
      <c r="J55" s="45"/>
      <c r="K55" s="43"/>
      <c r="L55" s="43"/>
      <c r="M55" s="43"/>
      <c r="N55" s="43"/>
      <c r="O55" s="43"/>
      <c r="P55" s="43"/>
      <c r="Q55" s="43"/>
      <c r="R55" s="43"/>
      <c r="S55" s="43"/>
      <c r="T55" s="43"/>
      <c r="U55" s="43"/>
      <c r="V55" s="43"/>
      <c r="W55" s="43"/>
      <c r="X55" s="43"/>
      <c r="Y55" s="45"/>
    </row>
    <row r="56" spans="1:25" x14ac:dyDescent="0.3">
      <c r="A56" s="45"/>
      <c r="B56" s="45"/>
      <c r="C56" s="45"/>
      <c r="D56" s="45"/>
      <c r="E56" s="45"/>
      <c r="F56" s="45"/>
      <c r="G56" s="45"/>
      <c r="H56" s="45"/>
      <c r="I56" s="45"/>
      <c r="J56" s="45"/>
      <c r="K56" s="43"/>
      <c r="L56" s="43"/>
      <c r="M56" s="43"/>
      <c r="N56" s="43"/>
      <c r="O56" s="43"/>
      <c r="P56" s="43"/>
      <c r="Q56" s="43"/>
      <c r="R56" s="43"/>
      <c r="S56" s="43"/>
      <c r="T56" s="43"/>
      <c r="U56" s="43"/>
      <c r="V56" s="43"/>
      <c r="W56" s="43"/>
      <c r="X56" s="43"/>
      <c r="Y56" s="45"/>
    </row>
    <row r="57" spans="1:25" x14ac:dyDescent="0.3">
      <c r="A57" s="45"/>
      <c r="B57" s="45"/>
      <c r="C57" s="45"/>
      <c r="D57" s="45"/>
      <c r="E57" s="45"/>
      <c r="F57" s="45"/>
      <c r="G57" s="45"/>
      <c r="H57" s="45"/>
      <c r="I57" s="45"/>
      <c r="J57" s="45"/>
      <c r="K57" s="43"/>
      <c r="L57" s="43"/>
      <c r="M57" s="43"/>
      <c r="N57" s="43"/>
      <c r="O57" s="43"/>
      <c r="P57" s="43"/>
      <c r="Q57" s="43"/>
      <c r="R57" s="43"/>
      <c r="S57" s="43"/>
      <c r="T57" s="43"/>
      <c r="U57" s="43"/>
      <c r="V57" s="43"/>
      <c r="W57" s="43"/>
      <c r="X57" s="43"/>
      <c r="Y57" s="45"/>
    </row>
    <row r="58" spans="1:25" x14ac:dyDescent="0.3">
      <c r="A58" s="45"/>
      <c r="B58" s="45"/>
      <c r="C58" s="45"/>
      <c r="D58" s="45"/>
      <c r="E58" s="45"/>
      <c r="F58" s="45"/>
      <c r="G58" s="45"/>
      <c r="H58" s="45"/>
      <c r="I58" s="45"/>
      <c r="J58" s="45"/>
      <c r="K58" s="43"/>
      <c r="L58" s="43"/>
      <c r="M58" s="43"/>
      <c r="N58" s="43"/>
      <c r="O58" s="43"/>
      <c r="P58" s="43"/>
      <c r="Q58" s="43"/>
      <c r="R58" s="43"/>
      <c r="S58" s="43"/>
      <c r="T58" s="43"/>
      <c r="U58" s="43"/>
      <c r="V58" s="43"/>
      <c r="W58" s="43"/>
      <c r="X58" s="43"/>
      <c r="Y58" s="45"/>
    </row>
    <row r="59" spans="1:25" x14ac:dyDescent="0.3">
      <c r="A59" s="45"/>
      <c r="B59" s="45"/>
      <c r="C59" s="45"/>
      <c r="D59" s="45"/>
      <c r="E59" s="45"/>
      <c r="F59" s="45"/>
      <c r="G59" s="45"/>
      <c r="H59" s="45"/>
      <c r="I59" s="45"/>
      <c r="J59" s="45"/>
      <c r="K59" s="45"/>
      <c r="L59" s="45"/>
      <c r="M59" s="45"/>
      <c r="N59" s="45"/>
      <c r="O59" s="45"/>
      <c r="P59" s="45"/>
      <c r="Q59" s="45"/>
      <c r="R59" s="45"/>
      <c r="S59" s="45"/>
      <c r="T59" s="45"/>
      <c r="U59" s="45"/>
      <c r="V59" s="45"/>
      <c r="W59" s="45"/>
      <c r="X59" s="45"/>
      <c r="Y59" s="45"/>
    </row>
    <row r="60" spans="1:25" ht="14.4" customHeight="1" x14ac:dyDescent="0.3">
      <c r="A60" s="45"/>
      <c r="B60" s="66"/>
      <c r="C60" s="66"/>
      <c r="D60" s="66"/>
      <c r="E60" s="66"/>
      <c r="F60" s="66"/>
      <c r="G60" s="66"/>
      <c r="H60" s="66"/>
      <c r="I60" s="45"/>
      <c r="J60" s="45"/>
      <c r="K60" s="45"/>
      <c r="L60" s="45"/>
      <c r="M60" s="45"/>
      <c r="N60" s="45"/>
      <c r="O60" s="45"/>
      <c r="P60" s="45"/>
      <c r="Q60" s="45"/>
      <c r="R60" s="45"/>
      <c r="S60" s="45"/>
      <c r="T60" s="45"/>
      <c r="U60" s="45"/>
      <c r="V60" s="45"/>
      <c r="W60" s="45"/>
      <c r="X60" s="45"/>
      <c r="Y60" s="45"/>
    </row>
    <row r="61" spans="1:25" ht="14.4" customHeight="1" x14ac:dyDescent="0.3">
      <c r="A61" s="45"/>
      <c r="B61" s="66"/>
      <c r="C61" s="66"/>
      <c r="D61" s="66"/>
      <c r="E61" s="66"/>
      <c r="F61" s="66"/>
      <c r="G61" s="66"/>
      <c r="H61" s="66"/>
      <c r="I61" s="45"/>
      <c r="J61" s="45"/>
      <c r="K61" s="45"/>
      <c r="L61" s="45"/>
      <c r="M61" s="45"/>
      <c r="N61" s="45"/>
      <c r="O61" s="45"/>
      <c r="P61" s="45"/>
      <c r="Q61" s="45"/>
      <c r="R61" s="45"/>
      <c r="S61" s="45"/>
      <c r="T61" s="45"/>
      <c r="U61" s="45"/>
      <c r="V61" s="45"/>
      <c r="W61" s="45"/>
      <c r="X61" s="45"/>
      <c r="Y61" s="45"/>
    </row>
    <row r="62" spans="1:25" ht="14.4" customHeight="1" x14ac:dyDescent="0.3">
      <c r="A62" s="45"/>
      <c r="B62" s="66"/>
      <c r="C62" s="66"/>
      <c r="D62" s="65" t="s">
        <v>85</v>
      </c>
      <c r="E62" s="65"/>
      <c r="F62" s="66"/>
      <c r="G62" s="66"/>
      <c r="H62" s="66"/>
      <c r="I62" s="45"/>
      <c r="J62" s="45"/>
      <c r="K62" s="62"/>
      <c r="L62" s="61" t="s">
        <v>83</v>
      </c>
      <c r="M62" s="61"/>
      <c r="N62" s="61"/>
      <c r="O62" s="61"/>
      <c r="P62" s="61"/>
      <c r="Q62" s="61"/>
      <c r="R62" s="61"/>
      <c r="S62" s="61"/>
      <c r="T62" s="61"/>
      <c r="U62" s="61"/>
      <c r="V62" s="61"/>
      <c r="W62" s="61"/>
      <c r="X62" s="61"/>
      <c r="Y62" s="45"/>
    </row>
    <row r="63" spans="1:25" ht="14.4" customHeight="1" x14ac:dyDescent="0.3">
      <c r="A63" s="45"/>
      <c r="B63" s="66"/>
      <c r="C63" s="66"/>
      <c r="D63" s="65"/>
      <c r="E63" s="65"/>
      <c r="F63" s="66"/>
      <c r="G63" s="66"/>
      <c r="H63" s="66"/>
      <c r="I63" s="45"/>
      <c r="J63" s="45"/>
      <c r="K63" s="62"/>
      <c r="L63" s="61"/>
      <c r="M63" s="61"/>
      <c r="N63" s="61"/>
      <c r="O63" s="61"/>
      <c r="P63" s="61"/>
      <c r="Q63" s="61"/>
      <c r="R63" s="61"/>
      <c r="S63" s="61"/>
      <c r="T63" s="61"/>
      <c r="U63" s="61"/>
      <c r="V63" s="61"/>
      <c r="W63" s="61"/>
      <c r="X63" s="61"/>
      <c r="Y63" s="45"/>
    </row>
    <row r="64" spans="1:25" ht="14.4" customHeight="1" x14ac:dyDescent="0.3">
      <c r="A64" s="45"/>
      <c r="B64" s="66"/>
      <c r="C64" s="66"/>
      <c r="D64" s="65"/>
      <c r="E64" s="65"/>
      <c r="F64" s="66"/>
      <c r="G64" s="66"/>
      <c r="H64" s="66"/>
      <c r="I64" s="45"/>
      <c r="J64" s="45"/>
      <c r="K64" s="62"/>
      <c r="L64" s="61"/>
      <c r="M64" s="61"/>
      <c r="N64" s="61"/>
      <c r="O64" s="61"/>
      <c r="P64" s="61"/>
      <c r="Q64" s="61"/>
      <c r="R64" s="61"/>
      <c r="S64" s="61"/>
      <c r="T64" s="61"/>
      <c r="U64" s="61"/>
      <c r="V64" s="61"/>
      <c r="W64" s="61"/>
      <c r="X64" s="61"/>
      <c r="Y64" s="45"/>
    </row>
    <row r="65" spans="1:25" ht="14.4" customHeight="1" x14ac:dyDescent="0.3">
      <c r="A65" s="45"/>
      <c r="B65" s="66"/>
      <c r="C65" s="66"/>
      <c r="D65" s="65"/>
      <c r="E65" s="65"/>
      <c r="F65" s="66"/>
      <c r="G65" s="66"/>
      <c r="H65" s="66"/>
      <c r="I65" s="45"/>
      <c r="J65" s="45"/>
      <c r="K65" s="62"/>
      <c r="L65" s="62"/>
      <c r="M65" s="62"/>
      <c r="N65" s="62"/>
      <c r="O65" s="62"/>
      <c r="P65" s="62"/>
      <c r="Q65" s="62"/>
      <c r="R65" s="62"/>
      <c r="S65" s="62"/>
      <c r="T65" s="62"/>
      <c r="U65" s="62"/>
      <c r="V65" s="62"/>
      <c r="W65" s="62"/>
      <c r="X65" s="62"/>
      <c r="Y65" s="45"/>
    </row>
    <row r="66" spans="1:25" ht="14.4" customHeight="1" x14ac:dyDescent="0.3">
      <c r="A66" s="45"/>
      <c r="B66" s="66"/>
      <c r="C66" s="66"/>
      <c r="D66" s="65"/>
      <c r="E66" s="65"/>
      <c r="F66" s="66"/>
      <c r="G66" s="66"/>
      <c r="H66" s="66"/>
      <c r="I66" s="45"/>
      <c r="J66" s="45"/>
      <c r="K66" s="62"/>
      <c r="L66" s="62"/>
      <c r="M66" s="62"/>
      <c r="N66" s="62"/>
      <c r="O66" s="62"/>
      <c r="P66" s="62"/>
      <c r="Q66" s="62"/>
      <c r="R66" s="62"/>
      <c r="S66" s="62"/>
      <c r="T66" s="62"/>
      <c r="U66" s="62"/>
      <c r="V66" s="62"/>
      <c r="W66" s="62"/>
      <c r="X66" s="62"/>
      <c r="Y66" s="45"/>
    </row>
    <row r="67" spans="1:25" ht="14.4" customHeight="1" x14ac:dyDescent="0.3">
      <c r="A67" s="45"/>
      <c r="B67" s="66"/>
      <c r="C67" s="66"/>
      <c r="D67" s="66"/>
      <c r="E67" s="66"/>
      <c r="F67" s="66"/>
      <c r="G67" s="66"/>
      <c r="H67" s="66"/>
      <c r="I67" s="45"/>
      <c r="J67" s="45"/>
      <c r="K67" s="62"/>
      <c r="L67" s="62"/>
      <c r="M67" s="62"/>
      <c r="N67" s="62"/>
      <c r="O67" s="62"/>
      <c r="P67" s="62"/>
      <c r="Q67" s="62"/>
      <c r="R67" s="62"/>
      <c r="S67" s="62"/>
      <c r="T67" s="62"/>
      <c r="U67" s="62"/>
      <c r="V67" s="62"/>
      <c r="W67" s="62"/>
      <c r="X67" s="62"/>
      <c r="Y67" s="45"/>
    </row>
    <row r="68" spans="1:25" x14ac:dyDescent="0.3">
      <c r="A68" s="45"/>
      <c r="B68" s="64"/>
      <c r="C68" s="64"/>
      <c r="D68" s="31" t="s">
        <v>84</v>
      </c>
      <c r="E68" s="31" t="s">
        <v>64</v>
      </c>
      <c r="F68" s="64"/>
      <c r="G68" s="64"/>
      <c r="H68" s="64"/>
      <c r="I68" s="45"/>
      <c r="J68" s="45"/>
      <c r="K68" s="62"/>
      <c r="L68" s="62"/>
      <c r="M68" s="62"/>
      <c r="N68" s="62"/>
      <c r="O68" s="62"/>
      <c r="P68" s="62"/>
      <c r="Q68" s="62"/>
      <c r="R68" s="62"/>
      <c r="S68" s="62"/>
      <c r="T68" s="62"/>
      <c r="U68" s="62"/>
      <c r="V68" s="62"/>
      <c r="W68" s="62"/>
      <c r="X68" s="62"/>
      <c r="Y68" s="45"/>
    </row>
    <row r="69" spans="1:25" ht="72" x14ac:dyDescent="0.3">
      <c r="A69" s="45"/>
      <c r="B69" s="64"/>
      <c r="C69" s="64"/>
      <c r="D69" s="31" t="s">
        <v>57</v>
      </c>
      <c r="E69" s="63" t="s">
        <v>15</v>
      </c>
      <c r="F69" s="64"/>
      <c r="G69" s="64"/>
      <c r="H69" s="64"/>
      <c r="I69" s="45"/>
      <c r="J69" s="45"/>
      <c r="K69" s="62"/>
      <c r="L69" s="62"/>
      <c r="M69" s="62"/>
      <c r="N69" s="62"/>
      <c r="O69" s="62"/>
      <c r="P69" s="62"/>
      <c r="Q69" s="62"/>
      <c r="R69" s="62"/>
      <c r="S69" s="62"/>
      <c r="T69" s="62"/>
      <c r="U69" s="62"/>
      <c r="V69" s="62"/>
      <c r="W69" s="62"/>
      <c r="X69" s="62"/>
      <c r="Y69" s="45"/>
    </row>
    <row r="70" spans="1:25" x14ac:dyDescent="0.3">
      <c r="A70" s="45"/>
      <c r="B70" s="64"/>
      <c r="C70" s="64"/>
      <c r="D70" s="53" t="s">
        <v>32</v>
      </c>
      <c r="E70" s="33">
        <v>9</v>
      </c>
      <c r="F70" s="64"/>
      <c r="G70" s="64"/>
      <c r="H70" s="64"/>
      <c r="I70" s="45"/>
      <c r="J70" s="45"/>
      <c r="K70" s="62"/>
      <c r="L70" s="62"/>
      <c r="M70" s="62"/>
      <c r="N70" s="62"/>
      <c r="O70" s="62"/>
      <c r="P70" s="62"/>
      <c r="Q70" s="62"/>
      <c r="R70" s="62"/>
      <c r="S70" s="62"/>
      <c r="T70" s="62"/>
      <c r="U70" s="62"/>
      <c r="V70" s="62"/>
      <c r="W70" s="62"/>
      <c r="X70" s="62"/>
      <c r="Y70" s="45"/>
    </row>
    <row r="71" spans="1:25" x14ac:dyDescent="0.3">
      <c r="A71" s="45"/>
      <c r="B71" s="64"/>
      <c r="C71" s="64"/>
      <c r="D71" s="53" t="s">
        <v>21</v>
      </c>
      <c r="E71" s="33">
        <v>7</v>
      </c>
      <c r="F71" s="64"/>
      <c r="G71" s="64"/>
      <c r="H71" s="64"/>
      <c r="I71" s="45"/>
      <c r="J71" s="45"/>
      <c r="K71" s="62"/>
      <c r="L71" s="62"/>
      <c r="M71" s="62"/>
      <c r="N71" s="62"/>
      <c r="O71" s="62"/>
      <c r="P71" s="62"/>
      <c r="Q71" s="62"/>
      <c r="R71" s="62"/>
      <c r="S71" s="62"/>
      <c r="T71" s="62"/>
      <c r="U71" s="62"/>
      <c r="V71" s="62"/>
      <c r="W71" s="62"/>
      <c r="X71" s="62"/>
      <c r="Y71" s="45"/>
    </row>
    <row r="72" spans="1:25" x14ac:dyDescent="0.3">
      <c r="A72" s="45"/>
      <c r="B72" s="64"/>
      <c r="C72" s="64"/>
      <c r="D72" s="53" t="s">
        <v>26</v>
      </c>
      <c r="E72" s="33">
        <v>6</v>
      </c>
      <c r="F72" s="64"/>
      <c r="G72" s="64"/>
      <c r="H72" s="64"/>
      <c r="I72" s="45"/>
      <c r="J72" s="45"/>
      <c r="K72" s="62"/>
      <c r="L72" s="62"/>
      <c r="M72" s="62"/>
      <c r="N72" s="62"/>
      <c r="O72" s="62"/>
      <c r="P72" s="62"/>
      <c r="Q72" s="62"/>
      <c r="R72" s="62"/>
      <c r="S72" s="62"/>
      <c r="T72" s="62"/>
      <c r="U72" s="62"/>
      <c r="V72" s="62"/>
      <c r="W72" s="62"/>
      <c r="X72" s="62"/>
      <c r="Y72" s="45"/>
    </row>
    <row r="73" spans="1:25" x14ac:dyDescent="0.3">
      <c r="A73" s="45"/>
      <c r="B73" s="64"/>
      <c r="C73" s="64"/>
      <c r="D73" s="53" t="s">
        <v>28</v>
      </c>
      <c r="E73" s="33">
        <v>6</v>
      </c>
      <c r="F73" s="64"/>
      <c r="G73" s="64"/>
      <c r="H73" s="64"/>
      <c r="I73" s="45"/>
      <c r="J73" s="45"/>
      <c r="K73" s="62"/>
      <c r="L73" s="62"/>
      <c r="M73" s="62"/>
      <c r="N73" s="62"/>
      <c r="O73" s="62"/>
      <c r="P73" s="62"/>
      <c r="Q73" s="62"/>
      <c r="R73" s="62"/>
      <c r="S73" s="62"/>
      <c r="T73" s="62"/>
      <c r="U73" s="62"/>
      <c r="V73" s="62"/>
      <c r="W73" s="62"/>
      <c r="X73" s="62"/>
      <c r="Y73" s="45"/>
    </row>
    <row r="74" spans="1:25" x14ac:dyDescent="0.3">
      <c r="A74" s="45"/>
      <c r="B74" s="64"/>
      <c r="C74" s="64"/>
      <c r="D74" s="53" t="s">
        <v>29</v>
      </c>
      <c r="E74" s="33">
        <v>5</v>
      </c>
      <c r="F74" s="64"/>
      <c r="G74" s="64"/>
      <c r="H74" s="64"/>
      <c r="I74" s="45"/>
      <c r="J74" s="45"/>
      <c r="K74" s="62"/>
      <c r="L74" s="62"/>
      <c r="M74" s="62"/>
      <c r="N74" s="62"/>
      <c r="O74" s="62"/>
      <c r="P74" s="62"/>
      <c r="Q74" s="62"/>
      <c r="R74" s="62"/>
      <c r="S74" s="62"/>
      <c r="T74" s="62"/>
      <c r="U74" s="62"/>
      <c r="V74" s="62"/>
      <c r="W74" s="62"/>
      <c r="X74" s="62"/>
      <c r="Y74" s="45"/>
    </row>
    <row r="75" spans="1:25" x14ac:dyDescent="0.3">
      <c r="A75" s="45"/>
      <c r="B75" s="64"/>
      <c r="C75" s="64"/>
      <c r="D75" s="53" t="s">
        <v>31</v>
      </c>
      <c r="E75" s="33">
        <v>5</v>
      </c>
      <c r="F75" s="64"/>
      <c r="G75" s="64"/>
      <c r="H75" s="64"/>
      <c r="I75" s="45"/>
      <c r="J75" s="45"/>
      <c r="K75" s="62"/>
      <c r="L75" s="62"/>
      <c r="M75" s="62"/>
      <c r="N75" s="62"/>
      <c r="O75" s="62"/>
      <c r="P75" s="62"/>
      <c r="Q75" s="62"/>
      <c r="R75" s="62"/>
      <c r="S75" s="62"/>
      <c r="T75" s="62"/>
      <c r="U75" s="62"/>
      <c r="V75" s="62"/>
      <c r="W75" s="62"/>
      <c r="X75" s="62"/>
      <c r="Y75" s="45"/>
    </row>
    <row r="76" spans="1:25" x14ac:dyDescent="0.3">
      <c r="A76" s="45"/>
      <c r="B76" s="64"/>
      <c r="C76" s="64"/>
      <c r="D76" s="53" t="s">
        <v>18</v>
      </c>
      <c r="E76" s="33">
        <v>5</v>
      </c>
      <c r="F76" s="64"/>
      <c r="G76" s="64"/>
      <c r="H76" s="64"/>
      <c r="I76" s="45"/>
      <c r="J76" s="45"/>
      <c r="K76" s="62"/>
      <c r="L76" s="62"/>
      <c r="M76" s="62"/>
      <c r="N76" s="62"/>
      <c r="O76" s="62"/>
      <c r="P76" s="62"/>
      <c r="Q76" s="62"/>
      <c r="R76" s="62"/>
      <c r="S76" s="62"/>
      <c r="T76" s="62"/>
      <c r="U76" s="62"/>
      <c r="V76" s="62"/>
      <c r="W76" s="62"/>
      <c r="X76" s="62"/>
      <c r="Y76" s="45"/>
    </row>
    <row r="77" spans="1:25" x14ac:dyDescent="0.3">
      <c r="A77" s="45"/>
      <c r="B77" s="64"/>
      <c r="C77" s="64"/>
      <c r="D77" s="53" t="s">
        <v>25</v>
      </c>
      <c r="E77" s="33">
        <v>4</v>
      </c>
      <c r="F77" s="64"/>
      <c r="G77" s="64"/>
      <c r="H77" s="64"/>
      <c r="I77" s="45"/>
      <c r="J77" s="45"/>
      <c r="K77" s="62"/>
      <c r="L77" s="62"/>
      <c r="M77" s="62"/>
      <c r="N77" s="62"/>
      <c r="O77" s="62"/>
      <c r="P77" s="62"/>
      <c r="Q77" s="62"/>
      <c r="R77" s="62"/>
      <c r="S77" s="62"/>
      <c r="T77" s="62"/>
      <c r="U77" s="62"/>
      <c r="V77" s="62"/>
      <c r="W77" s="62"/>
      <c r="X77" s="62"/>
      <c r="Y77" s="45"/>
    </row>
    <row r="78" spans="1:25" x14ac:dyDescent="0.3">
      <c r="A78" s="45"/>
      <c r="B78" s="64"/>
      <c r="C78" s="64"/>
      <c r="D78" s="53" t="s">
        <v>27</v>
      </c>
      <c r="E78" s="33">
        <v>4</v>
      </c>
      <c r="F78" s="64"/>
      <c r="G78" s="64"/>
      <c r="H78" s="64"/>
      <c r="I78" s="45"/>
      <c r="J78" s="45"/>
      <c r="K78" s="62"/>
      <c r="L78" s="62"/>
      <c r="M78" s="62"/>
      <c r="N78" s="62"/>
      <c r="O78" s="62"/>
      <c r="P78" s="62"/>
      <c r="Q78" s="62"/>
      <c r="R78" s="62"/>
      <c r="S78" s="62"/>
      <c r="T78" s="62"/>
      <c r="U78" s="62"/>
      <c r="V78" s="62"/>
      <c r="W78" s="62"/>
      <c r="X78" s="62"/>
      <c r="Y78" s="45"/>
    </row>
    <row r="79" spans="1:25" x14ac:dyDescent="0.3">
      <c r="A79" s="45"/>
      <c r="B79" s="64"/>
      <c r="C79" s="64"/>
      <c r="D79" s="53" t="s">
        <v>13</v>
      </c>
      <c r="E79" s="33">
        <v>2</v>
      </c>
      <c r="F79" s="64"/>
      <c r="G79" s="64"/>
      <c r="H79" s="64"/>
      <c r="I79" s="45"/>
      <c r="J79" s="45"/>
      <c r="K79" s="62"/>
      <c r="L79" s="62"/>
      <c r="M79" s="62"/>
      <c r="N79" s="62"/>
      <c r="O79" s="62"/>
      <c r="P79" s="62"/>
      <c r="Q79" s="62"/>
      <c r="R79" s="62"/>
      <c r="S79" s="62"/>
      <c r="T79" s="62"/>
      <c r="U79" s="62"/>
      <c r="V79" s="62"/>
      <c r="W79" s="62"/>
      <c r="X79" s="62"/>
      <c r="Y79" s="45"/>
    </row>
    <row r="80" spans="1:25" x14ac:dyDescent="0.3">
      <c r="A80" s="45"/>
      <c r="B80" s="64"/>
      <c r="C80" s="64"/>
      <c r="D80" s="32" t="s">
        <v>58</v>
      </c>
      <c r="E80" s="33">
        <v>53</v>
      </c>
      <c r="F80" s="64"/>
      <c r="G80" s="64"/>
      <c r="H80" s="64"/>
      <c r="I80" s="45"/>
      <c r="J80" s="45"/>
      <c r="K80" s="62"/>
      <c r="L80" s="62"/>
      <c r="M80" s="62"/>
      <c r="N80" s="62"/>
      <c r="O80" s="62"/>
      <c r="P80" s="62"/>
      <c r="Q80" s="62"/>
      <c r="R80" s="62"/>
      <c r="S80" s="62"/>
      <c r="T80" s="62"/>
      <c r="U80" s="62"/>
      <c r="V80" s="62"/>
      <c r="W80" s="62"/>
      <c r="X80" s="62"/>
      <c r="Y80" s="45"/>
    </row>
    <row r="81" spans="1:25" x14ac:dyDescent="0.3">
      <c r="A81" s="45"/>
      <c r="B81" s="64"/>
      <c r="C81" s="64"/>
      <c r="D81" s="64"/>
      <c r="E81" s="64"/>
      <c r="F81" s="64"/>
      <c r="G81" s="64"/>
      <c r="H81" s="64"/>
      <c r="I81" s="45"/>
      <c r="J81" s="45"/>
      <c r="K81" s="62"/>
      <c r="L81" s="62"/>
      <c r="M81" s="62"/>
      <c r="N81" s="62"/>
      <c r="O81" s="62"/>
      <c r="P81" s="62"/>
      <c r="Q81" s="62"/>
      <c r="R81" s="62"/>
      <c r="S81" s="62"/>
      <c r="T81" s="62"/>
      <c r="U81" s="62"/>
      <c r="V81" s="62"/>
      <c r="W81" s="62"/>
      <c r="X81" s="62"/>
      <c r="Y81" s="45"/>
    </row>
    <row r="82" spans="1:25" x14ac:dyDescent="0.3">
      <c r="A82" s="45"/>
      <c r="B82" s="64"/>
      <c r="C82" s="64"/>
      <c r="D82" s="64"/>
      <c r="E82" s="64"/>
      <c r="F82" s="64"/>
      <c r="G82" s="64"/>
      <c r="H82" s="64"/>
      <c r="I82" s="45"/>
      <c r="J82" s="45"/>
      <c r="K82" s="62"/>
      <c r="L82" s="62"/>
      <c r="M82" s="62"/>
      <c r="N82" s="62"/>
      <c r="O82" s="62"/>
      <c r="P82" s="62"/>
      <c r="Q82" s="62"/>
      <c r="R82" s="62"/>
      <c r="S82" s="62"/>
      <c r="T82" s="62"/>
      <c r="U82" s="62"/>
      <c r="V82" s="62"/>
      <c r="W82" s="62"/>
      <c r="X82" s="62"/>
      <c r="Y82" s="45"/>
    </row>
    <row r="83" spans="1:25" x14ac:dyDescent="0.3">
      <c r="A83" s="45"/>
      <c r="B83" s="64"/>
      <c r="C83" s="64"/>
      <c r="D83" s="64"/>
      <c r="E83" s="64"/>
      <c r="F83" s="64"/>
      <c r="G83" s="64"/>
      <c r="H83" s="64"/>
      <c r="I83" s="45"/>
      <c r="J83" s="45"/>
      <c r="K83" s="62"/>
      <c r="L83" s="62"/>
      <c r="M83" s="62"/>
      <c r="N83" s="62"/>
      <c r="O83" s="62"/>
      <c r="P83" s="62"/>
      <c r="Q83" s="62"/>
      <c r="R83" s="62"/>
      <c r="S83" s="62"/>
      <c r="T83" s="62"/>
      <c r="U83" s="62"/>
      <c r="V83" s="62"/>
      <c r="W83" s="62"/>
      <c r="X83" s="62"/>
      <c r="Y83" s="45"/>
    </row>
    <row r="84" spans="1:25" x14ac:dyDescent="0.3">
      <c r="A84" s="45"/>
      <c r="B84" s="64"/>
      <c r="C84" s="64"/>
      <c r="D84" s="64"/>
      <c r="E84" s="64"/>
      <c r="F84" s="64"/>
      <c r="G84" s="64"/>
      <c r="H84" s="64"/>
      <c r="I84" s="45"/>
      <c r="J84" s="45"/>
      <c r="K84" s="62"/>
      <c r="L84" s="62"/>
      <c r="M84" s="62"/>
      <c r="N84" s="62"/>
      <c r="O84" s="62"/>
      <c r="P84" s="62"/>
      <c r="Q84" s="62"/>
      <c r="R84" s="62"/>
      <c r="S84" s="62"/>
      <c r="T84" s="62"/>
      <c r="U84" s="62"/>
      <c r="V84" s="62"/>
      <c r="W84" s="62"/>
      <c r="X84" s="62"/>
      <c r="Y84" s="45"/>
    </row>
    <row r="85" spans="1:25" x14ac:dyDescent="0.3">
      <c r="A85" s="45"/>
      <c r="B85" s="64"/>
      <c r="C85" s="64"/>
      <c r="D85" s="64"/>
      <c r="E85" s="64"/>
      <c r="F85" s="64"/>
      <c r="G85" s="64"/>
      <c r="H85" s="64"/>
      <c r="I85" s="45"/>
      <c r="J85" s="45"/>
      <c r="K85" s="62"/>
      <c r="L85" s="62"/>
      <c r="M85" s="62"/>
      <c r="N85" s="62"/>
      <c r="O85" s="62"/>
      <c r="P85" s="62"/>
      <c r="Q85" s="62"/>
      <c r="R85" s="62"/>
      <c r="S85" s="62"/>
      <c r="T85" s="62"/>
      <c r="U85" s="62"/>
      <c r="V85" s="62"/>
      <c r="W85" s="62"/>
      <c r="X85" s="62"/>
      <c r="Y85" s="45"/>
    </row>
    <row r="86" spans="1:25" x14ac:dyDescent="0.3">
      <c r="A86" s="45"/>
      <c r="B86" s="64"/>
      <c r="C86" s="64"/>
      <c r="D86" s="64"/>
      <c r="E86" s="64"/>
      <c r="F86" s="64"/>
      <c r="G86" s="64"/>
      <c r="H86" s="64"/>
      <c r="I86" s="45"/>
      <c r="J86" s="45"/>
      <c r="K86" s="62"/>
      <c r="L86" s="62"/>
      <c r="M86" s="62"/>
      <c r="N86" s="62"/>
      <c r="O86" s="62"/>
      <c r="P86" s="62"/>
      <c r="Q86" s="62"/>
      <c r="R86" s="62"/>
      <c r="S86" s="62"/>
      <c r="T86" s="62"/>
      <c r="U86" s="62"/>
      <c r="V86" s="62"/>
      <c r="W86" s="62"/>
      <c r="X86" s="62"/>
      <c r="Y86" s="45"/>
    </row>
    <row r="87" spans="1:25" x14ac:dyDescent="0.3">
      <c r="A87" s="45"/>
      <c r="B87" s="45"/>
      <c r="C87" s="45"/>
      <c r="D87" s="45"/>
      <c r="E87" s="45"/>
      <c r="F87" s="45"/>
      <c r="G87" s="45"/>
      <c r="H87" s="45"/>
      <c r="I87" s="45"/>
      <c r="J87" s="45"/>
      <c r="K87" s="45"/>
      <c r="L87" s="45"/>
      <c r="M87" s="45"/>
      <c r="N87" s="45"/>
      <c r="O87" s="45"/>
      <c r="P87" s="45"/>
      <c r="Q87" s="45"/>
      <c r="R87" s="45"/>
      <c r="S87" s="45"/>
      <c r="T87" s="45"/>
      <c r="U87" s="45"/>
      <c r="V87" s="45"/>
      <c r="W87" s="45"/>
      <c r="X87" s="45"/>
      <c r="Y87" s="45"/>
    </row>
    <row r="88" spans="1:25" x14ac:dyDescent="0.3">
      <c r="A88" s="45"/>
      <c r="B88" s="45"/>
      <c r="C88" s="45"/>
      <c r="D88" s="45"/>
      <c r="E88" s="45"/>
      <c r="F88" s="45"/>
      <c r="G88" s="45"/>
      <c r="H88" s="45"/>
      <c r="I88" s="45"/>
      <c r="J88" s="45"/>
      <c r="K88" s="45"/>
      <c r="L88" s="45"/>
      <c r="M88" s="45"/>
      <c r="N88" s="45"/>
      <c r="O88" s="45"/>
      <c r="P88" s="45"/>
      <c r="Q88" s="45"/>
      <c r="R88" s="45"/>
      <c r="S88" s="45"/>
      <c r="T88" s="45"/>
      <c r="U88" s="45"/>
      <c r="V88" s="45"/>
      <c r="W88" s="45"/>
      <c r="X88" s="45"/>
      <c r="Y88" s="45"/>
    </row>
    <row r="89" spans="1:25" x14ac:dyDescent="0.3">
      <c r="A89" s="45"/>
      <c r="B89" s="45"/>
      <c r="C89" s="45"/>
      <c r="D89" s="45"/>
      <c r="E89" s="45"/>
      <c r="F89" s="45"/>
      <c r="G89" s="45"/>
      <c r="H89" s="45"/>
      <c r="I89" s="45"/>
      <c r="J89" s="45"/>
      <c r="K89" s="45"/>
      <c r="L89" s="45"/>
      <c r="M89" s="45"/>
      <c r="N89" s="45"/>
      <c r="O89" s="45"/>
      <c r="P89" s="45"/>
      <c r="Q89" s="45"/>
      <c r="R89" s="45"/>
      <c r="S89" s="45"/>
      <c r="T89" s="45"/>
      <c r="U89" s="45"/>
      <c r="V89" s="45"/>
      <c r="W89" s="45"/>
      <c r="X89" s="45"/>
      <c r="Y89" s="45"/>
    </row>
    <row r="90" spans="1:25" x14ac:dyDescent="0.3">
      <c r="A90" s="45"/>
      <c r="B90" s="45"/>
      <c r="C90" s="45"/>
      <c r="D90" s="45"/>
      <c r="E90" s="45"/>
      <c r="F90" s="45"/>
      <c r="G90" s="45"/>
      <c r="H90" s="45"/>
      <c r="I90" s="45"/>
      <c r="J90" s="45"/>
      <c r="K90" s="45"/>
      <c r="L90" s="45"/>
      <c r="M90" s="45"/>
      <c r="N90" s="45"/>
      <c r="O90" s="45"/>
      <c r="P90" s="45"/>
      <c r="Q90" s="45"/>
      <c r="R90" s="45"/>
      <c r="S90" s="45"/>
      <c r="T90" s="45"/>
      <c r="U90" s="45"/>
      <c r="V90" s="45"/>
      <c r="W90" s="45"/>
      <c r="X90" s="45"/>
      <c r="Y90" s="45"/>
    </row>
  </sheetData>
  <mergeCells count="8">
    <mergeCell ref="L62:X64"/>
    <mergeCell ref="D62:E66"/>
    <mergeCell ref="L18:M20"/>
    <mergeCell ref="C17:H19"/>
    <mergeCell ref="C37:H40"/>
    <mergeCell ref="L37:X39"/>
    <mergeCell ref="D3:T3"/>
    <mergeCell ref="P17:X20"/>
  </mergeCells>
  <conditionalFormatting sqref="E41:F41">
    <cfRule type="colorScale" priority="3">
      <colorScale>
        <cfvo type="min"/>
        <cfvo type="percentile" val="50"/>
        <cfvo type="max"/>
        <color rgb="FF5A8AC6"/>
        <color rgb="FFFCFCFF"/>
        <color rgb="FFF8696B"/>
      </colorScale>
    </cfRule>
  </conditionalFormatting>
  <conditionalFormatting pivot="1" sqref="E43:G52">
    <cfRule type="colorScale" priority="2">
      <colorScale>
        <cfvo type="min"/>
        <cfvo type="percentile" val="50"/>
        <cfvo type="max"/>
        <color rgb="FF63BE7B"/>
        <color rgb="FFFFEB84"/>
        <color rgb="FFF8696B"/>
      </colorScale>
    </cfRule>
  </conditionalFormatting>
  <conditionalFormatting pivot="1" sqref="E70:E79">
    <cfRule type="colorScale" priority="1">
      <colorScale>
        <cfvo type="min"/>
        <cfvo type="percentile" val="50"/>
        <cfvo type="max"/>
        <color rgb="FF63BE7B"/>
        <color rgb="FFFFEB84"/>
        <color rgb="FFF8696B"/>
      </colorScale>
    </cfRule>
  </conditionalFormatting>
  <pageMargins left="0.7" right="0.7" top="0.75" bottom="0.75" header="0.3" footer="0.3"/>
  <pageSetup scale="25" orientation="portrait" r:id="rId5"/>
  <drawing r:id="rId6"/>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L121"/>
  <sheetViews>
    <sheetView workbookViewId="0">
      <selection sqref="A1:L121"/>
    </sheetView>
  </sheetViews>
  <sheetFormatPr defaultRowHeight="14.4" x14ac:dyDescent="0.3"/>
  <cols>
    <col min="2" max="2" width="22.33203125" customWidth="1"/>
    <col min="3" max="3" width="12.88671875" customWidth="1"/>
    <col min="4" max="4" width="17.109375" customWidth="1"/>
    <col min="6" max="6" width="13.21875" customWidth="1"/>
    <col min="7" max="7" width="13.77734375" customWidth="1"/>
    <col min="8" max="8" width="23.21875" customWidth="1"/>
    <col min="9" max="9" width="9.33203125" customWidth="1"/>
    <col min="10" max="10" width="9.44140625" customWidth="1"/>
    <col min="11" max="11" width="17.21875" customWidth="1"/>
    <col min="12" max="12" width="10.5546875" customWidth="1"/>
  </cols>
  <sheetData>
    <row r="1" spans="1:12" x14ac:dyDescent="0.3">
      <c r="A1" s="28" t="s">
        <v>0</v>
      </c>
      <c r="B1" s="28" t="s">
        <v>1</v>
      </c>
      <c r="C1" s="28" t="s">
        <v>2</v>
      </c>
      <c r="D1" s="28" t="s">
        <v>3</v>
      </c>
      <c r="E1" s="28" t="s">
        <v>4</v>
      </c>
      <c r="F1" s="28" t="s">
        <v>5</v>
      </c>
      <c r="G1" s="28" t="s">
        <v>6</v>
      </c>
      <c r="H1" s="28" t="s">
        <v>7</v>
      </c>
      <c r="I1" s="28" t="s">
        <v>8</v>
      </c>
      <c r="J1" s="28" t="s">
        <v>9</v>
      </c>
      <c r="K1" s="28" t="s">
        <v>10</v>
      </c>
      <c r="L1" s="28" t="s">
        <v>11</v>
      </c>
    </row>
    <row r="2" spans="1:12" x14ac:dyDescent="0.3">
      <c r="A2" t="s">
        <v>12</v>
      </c>
      <c r="B2" t="s">
        <v>13</v>
      </c>
      <c r="C2" t="s">
        <v>14</v>
      </c>
      <c r="D2">
        <v>68690</v>
      </c>
      <c r="E2">
        <v>99988</v>
      </c>
      <c r="F2">
        <v>31298</v>
      </c>
      <c r="G2">
        <v>0.4556</v>
      </c>
      <c r="H2" t="s">
        <v>15</v>
      </c>
      <c r="I2" t="s">
        <v>16</v>
      </c>
      <c r="J2" t="s">
        <v>17</v>
      </c>
      <c r="K2">
        <v>6</v>
      </c>
      <c r="L2">
        <v>23372.18</v>
      </c>
    </row>
    <row r="3" spans="1:12" x14ac:dyDescent="0.3">
      <c r="A3" t="s">
        <v>12</v>
      </c>
      <c r="B3" t="s">
        <v>18</v>
      </c>
      <c r="C3" t="s">
        <v>14</v>
      </c>
      <c r="D3">
        <v>32996</v>
      </c>
      <c r="E3">
        <v>33435</v>
      </c>
      <c r="F3">
        <v>439</v>
      </c>
      <c r="G3">
        <v>1.3299999999999999E-2</v>
      </c>
      <c r="I3" t="s">
        <v>19</v>
      </c>
      <c r="J3" t="s">
        <v>20</v>
      </c>
      <c r="K3">
        <v>0</v>
      </c>
      <c r="L3">
        <v>4776.53</v>
      </c>
    </row>
    <row r="4" spans="1:12" x14ac:dyDescent="0.3">
      <c r="A4" t="s">
        <v>12</v>
      </c>
      <c r="B4" t="s">
        <v>21</v>
      </c>
      <c r="C4" t="s">
        <v>14</v>
      </c>
      <c r="D4">
        <v>104615</v>
      </c>
      <c r="E4">
        <v>68080</v>
      </c>
      <c r="F4">
        <v>-36535</v>
      </c>
      <c r="G4">
        <v>-0.34920000000000001</v>
      </c>
      <c r="H4" t="s">
        <v>22</v>
      </c>
      <c r="I4" t="s">
        <v>23</v>
      </c>
      <c r="J4" t="s">
        <v>24</v>
      </c>
      <c r="K4">
        <v>0</v>
      </c>
      <c r="L4">
        <v>10521.59</v>
      </c>
    </row>
    <row r="5" spans="1:12" x14ac:dyDescent="0.3">
      <c r="A5" t="s">
        <v>12</v>
      </c>
      <c r="B5" t="s">
        <v>25</v>
      </c>
      <c r="C5" t="s">
        <v>14</v>
      </c>
      <c r="D5">
        <v>43842</v>
      </c>
      <c r="E5">
        <v>38309</v>
      </c>
      <c r="F5">
        <v>-5533</v>
      </c>
      <c r="G5">
        <v>-0.12620000000000001</v>
      </c>
      <c r="I5" t="s">
        <v>19</v>
      </c>
      <c r="J5" t="s">
        <v>20</v>
      </c>
      <c r="K5">
        <v>0</v>
      </c>
      <c r="L5">
        <v>4095.95</v>
      </c>
    </row>
    <row r="6" spans="1:12" x14ac:dyDescent="0.3">
      <c r="A6" t="s">
        <v>12</v>
      </c>
      <c r="B6" t="s">
        <v>26</v>
      </c>
      <c r="C6" t="s">
        <v>14</v>
      </c>
      <c r="D6">
        <v>88220</v>
      </c>
      <c r="E6">
        <v>84680</v>
      </c>
      <c r="F6">
        <v>-3540</v>
      </c>
      <c r="G6">
        <v>-4.0099999999999997E-2</v>
      </c>
      <c r="I6" t="s">
        <v>23</v>
      </c>
      <c r="J6" t="s">
        <v>20</v>
      </c>
      <c r="K6">
        <v>0</v>
      </c>
      <c r="L6">
        <v>17775.060000000001</v>
      </c>
    </row>
    <row r="7" spans="1:12" x14ac:dyDescent="0.3">
      <c r="A7" t="s">
        <v>12</v>
      </c>
      <c r="B7" t="s">
        <v>27</v>
      </c>
      <c r="C7" t="s">
        <v>14</v>
      </c>
      <c r="D7">
        <v>79289</v>
      </c>
      <c r="E7">
        <v>103603</v>
      </c>
      <c r="F7">
        <v>24314</v>
      </c>
      <c r="G7">
        <v>0.30669999999999997</v>
      </c>
      <c r="H7" t="s">
        <v>15</v>
      </c>
      <c r="I7" t="s">
        <v>16</v>
      </c>
      <c r="J7" t="s">
        <v>20</v>
      </c>
      <c r="K7">
        <v>0</v>
      </c>
      <c r="L7">
        <v>26343.17</v>
      </c>
    </row>
    <row r="8" spans="1:12" x14ac:dyDescent="0.3">
      <c r="A8" t="s">
        <v>12</v>
      </c>
      <c r="B8" t="s">
        <v>28</v>
      </c>
      <c r="C8" t="s">
        <v>14</v>
      </c>
      <c r="D8">
        <v>97013</v>
      </c>
      <c r="E8">
        <v>62263</v>
      </c>
      <c r="F8">
        <v>-34750</v>
      </c>
      <c r="G8">
        <v>-0.35820000000000002</v>
      </c>
      <c r="H8" t="s">
        <v>22</v>
      </c>
      <c r="I8" t="s">
        <v>16</v>
      </c>
      <c r="J8" t="s">
        <v>17</v>
      </c>
      <c r="K8">
        <v>0</v>
      </c>
      <c r="L8">
        <v>14641.13</v>
      </c>
    </row>
    <row r="9" spans="1:12" x14ac:dyDescent="0.3">
      <c r="A9" t="s">
        <v>12</v>
      </c>
      <c r="B9" t="s">
        <v>29</v>
      </c>
      <c r="C9" t="s">
        <v>14</v>
      </c>
      <c r="D9">
        <v>21724</v>
      </c>
      <c r="E9">
        <v>31455</v>
      </c>
      <c r="F9">
        <v>9731</v>
      </c>
      <c r="G9">
        <v>0.44790000000000002</v>
      </c>
      <c r="H9" t="s">
        <v>15</v>
      </c>
      <c r="I9" t="s">
        <v>30</v>
      </c>
      <c r="J9" t="s">
        <v>24</v>
      </c>
      <c r="K9">
        <v>0</v>
      </c>
      <c r="L9">
        <v>6019.99</v>
      </c>
    </row>
    <row r="10" spans="1:12" x14ac:dyDescent="0.3">
      <c r="A10" t="s">
        <v>12</v>
      </c>
      <c r="B10" t="s">
        <v>31</v>
      </c>
      <c r="C10" t="s">
        <v>14</v>
      </c>
      <c r="D10">
        <v>32697</v>
      </c>
      <c r="E10">
        <v>39753</v>
      </c>
      <c r="F10">
        <v>7056</v>
      </c>
      <c r="G10">
        <v>0.21579999999999999</v>
      </c>
      <c r="H10" t="s">
        <v>15</v>
      </c>
      <c r="I10" t="s">
        <v>23</v>
      </c>
      <c r="J10" t="s">
        <v>20</v>
      </c>
      <c r="K10">
        <v>0</v>
      </c>
      <c r="L10">
        <v>9880.73</v>
      </c>
    </row>
    <row r="11" spans="1:12" x14ac:dyDescent="0.3">
      <c r="A11" t="s">
        <v>12</v>
      </c>
      <c r="B11" t="s">
        <v>32</v>
      </c>
      <c r="C11" t="s">
        <v>14</v>
      </c>
      <c r="D11">
        <v>24470</v>
      </c>
      <c r="E11">
        <v>34707</v>
      </c>
      <c r="F11">
        <v>10237</v>
      </c>
      <c r="G11">
        <v>0.41830000000000001</v>
      </c>
      <c r="H11" t="s">
        <v>15</v>
      </c>
      <c r="I11" t="s">
        <v>23</v>
      </c>
      <c r="J11" t="s">
        <v>24</v>
      </c>
      <c r="K11">
        <v>0</v>
      </c>
      <c r="L11">
        <v>10368.950000000001</v>
      </c>
    </row>
    <row r="12" spans="1:12" x14ac:dyDescent="0.3">
      <c r="A12" t="s">
        <v>33</v>
      </c>
      <c r="B12" t="s">
        <v>13</v>
      </c>
      <c r="C12" t="s">
        <v>14</v>
      </c>
      <c r="D12">
        <v>60522</v>
      </c>
      <c r="E12">
        <v>64641</v>
      </c>
      <c r="F12">
        <v>4119</v>
      </c>
      <c r="G12">
        <v>6.8099999999999994E-2</v>
      </c>
      <c r="I12" t="s">
        <v>30</v>
      </c>
      <c r="J12" t="s">
        <v>20</v>
      </c>
      <c r="K12">
        <v>17</v>
      </c>
      <c r="L12">
        <v>21495.71</v>
      </c>
    </row>
    <row r="13" spans="1:12" x14ac:dyDescent="0.3">
      <c r="A13" t="s">
        <v>33</v>
      </c>
      <c r="B13" t="s">
        <v>18</v>
      </c>
      <c r="C13" t="s">
        <v>14</v>
      </c>
      <c r="D13">
        <v>142134</v>
      </c>
      <c r="E13">
        <v>199747</v>
      </c>
      <c r="F13">
        <v>57613</v>
      </c>
      <c r="G13">
        <v>0.40529999999999999</v>
      </c>
      <c r="H13" t="s">
        <v>15</v>
      </c>
      <c r="I13" t="s">
        <v>23</v>
      </c>
      <c r="J13" t="s">
        <v>14</v>
      </c>
      <c r="K13">
        <v>0</v>
      </c>
      <c r="L13">
        <v>77572.070000000007</v>
      </c>
    </row>
    <row r="14" spans="1:12" x14ac:dyDescent="0.3">
      <c r="A14" t="s">
        <v>33</v>
      </c>
      <c r="B14" t="s">
        <v>21</v>
      </c>
      <c r="C14" t="s">
        <v>14</v>
      </c>
      <c r="D14">
        <v>129789</v>
      </c>
      <c r="E14">
        <v>165167</v>
      </c>
      <c r="F14">
        <v>35378</v>
      </c>
      <c r="G14">
        <v>0.27260000000000001</v>
      </c>
      <c r="H14" t="s">
        <v>15</v>
      </c>
      <c r="I14" t="s">
        <v>19</v>
      </c>
      <c r="J14" t="s">
        <v>24</v>
      </c>
      <c r="K14">
        <v>0</v>
      </c>
      <c r="L14">
        <v>64345.2</v>
      </c>
    </row>
    <row r="15" spans="1:12" x14ac:dyDescent="0.3">
      <c r="A15" t="s">
        <v>33</v>
      </c>
      <c r="B15" t="s">
        <v>25</v>
      </c>
      <c r="C15" t="s">
        <v>14</v>
      </c>
      <c r="D15">
        <v>98914</v>
      </c>
      <c r="E15">
        <v>83918</v>
      </c>
      <c r="F15">
        <v>-14996</v>
      </c>
      <c r="G15">
        <v>-0.15160000000000001</v>
      </c>
      <c r="I15" t="s">
        <v>19</v>
      </c>
      <c r="J15" t="s">
        <v>17</v>
      </c>
      <c r="K15">
        <v>0</v>
      </c>
      <c r="L15">
        <v>10268.64</v>
      </c>
    </row>
    <row r="16" spans="1:12" x14ac:dyDescent="0.3">
      <c r="A16" t="s">
        <v>33</v>
      </c>
      <c r="B16" t="s">
        <v>26</v>
      </c>
      <c r="C16" t="s">
        <v>14</v>
      </c>
      <c r="D16">
        <v>148295</v>
      </c>
      <c r="E16">
        <v>192045</v>
      </c>
      <c r="F16">
        <v>43750</v>
      </c>
      <c r="G16">
        <v>0.29499999999999998</v>
      </c>
      <c r="H16" t="s">
        <v>15</v>
      </c>
      <c r="I16" t="s">
        <v>23</v>
      </c>
      <c r="J16" t="s">
        <v>34</v>
      </c>
      <c r="K16">
        <v>0</v>
      </c>
      <c r="L16">
        <v>30660.51</v>
      </c>
    </row>
    <row r="17" spans="1:12" x14ac:dyDescent="0.3">
      <c r="A17" t="s">
        <v>33</v>
      </c>
      <c r="B17" t="s">
        <v>27</v>
      </c>
      <c r="C17" t="s">
        <v>14</v>
      </c>
      <c r="D17">
        <v>112474</v>
      </c>
      <c r="E17">
        <v>147471</v>
      </c>
      <c r="F17">
        <v>34997</v>
      </c>
      <c r="G17">
        <v>0.31119999999999998</v>
      </c>
      <c r="H17" t="s">
        <v>15</v>
      </c>
      <c r="I17" t="s">
        <v>16</v>
      </c>
      <c r="J17" t="s">
        <v>17</v>
      </c>
      <c r="K17">
        <v>0</v>
      </c>
      <c r="L17">
        <v>55727.86</v>
      </c>
    </row>
    <row r="18" spans="1:12" x14ac:dyDescent="0.3">
      <c r="A18" t="s">
        <v>33</v>
      </c>
      <c r="B18" t="s">
        <v>28</v>
      </c>
      <c r="C18" t="s">
        <v>14</v>
      </c>
      <c r="D18">
        <v>104640</v>
      </c>
      <c r="E18">
        <v>148951</v>
      </c>
      <c r="F18">
        <v>44311</v>
      </c>
      <c r="G18">
        <v>0.42349999999999999</v>
      </c>
      <c r="H18" t="s">
        <v>15</v>
      </c>
      <c r="I18" t="s">
        <v>35</v>
      </c>
      <c r="J18" t="s">
        <v>20</v>
      </c>
      <c r="K18">
        <v>0</v>
      </c>
      <c r="L18">
        <v>29681.38</v>
      </c>
    </row>
    <row r="19" spans="1:12" x14ac:dyDescent="0.3">
      <c r="A19" t="s">
        <v>33</v>
      </c>
      <c r="B19" t="s">
        <v>29</v>
      </c>
      <c r="C19" t="s">
        <v>14</v>
      </c>
      <c r="D19">
        <v>28262</v>
      </c>
      <c r="E19">
        <v>24867</v>
      </c>
      <c r="F19">
        <v>-3395</v>
      </c>
      <c r="G19">
        <v>-0.1201</v>
      </c>
      <c r="I19" t="s">
        <v>19</v>
      </c>
      <c r="J19" t="s">
        <v>34</v>
      </c>
      <c r="K19">
        <v>0</v>
      </c>
      <c r="L19">
        <v>6897.84</v>
      </c>
    </row>
    <row r="20" spans="1:12" x14ac:dyDescent="0.3">
      <c r="A20" t="s">
        <v>33</v>
      </c>
      <c r="B20" t="s">
        <v>31</v>
      </c>
      <c r="C20" t="s">
        <v>14</v>
      </c>
      <c r="D20">
        <v>55713</v>
      </c>
      <c r="E20">
        <v>61569</v>
      </c>
      <c r="F20">
        <v>5856</v>
      </c>
      <c r="G20">
        <v>0.1051</v>
      </c>
      <c r="I20" t="s">
        <v>16</v>
      </c>
      <c r="J20" t="s">
        <v>17</v>
      </c>
      <c r="K20">
        <v>0</v>
      </c>
      <c r="L20">
        <v>24105.1</v>
      </c>
    </row>
    <row r="21" spans="1:12" x14ac:dyDescent="0.3">
      <c r="A21" t="s">
        <v>33</v>
      </c>
      <c r="B21" t="s">
        <v>32</v>
      </c>
      <c r="C21" t="s">
        <v>14</v>
      </c>
      <c r="D21">
        <v>130358</v>
      </c>
      <c r="E21">
        <v>162889</v>
      </c>
      <c r="F21">
        <v>32531</v>
      </c>
      <c r="G21">
        <v>0.24959999999999999</v>
      </c>
      <c r="H21" t="s">
        <v>15</v>
      </c>
      <c r="I21" t="s">
        <v>16</v>
      </c>
      <c r="J21" t="s">
        <v>14</v>
      </c>
      <c r="K21">
        <v>0</v>
      </c>
      <c r="L21">
        <v>51016.65</v>
      </c>
    </row>
    <row r="22" spans="1:12" x14ac:dyDescent="0.3">
      <c r="A22" t="s">
        <v>36</v>
      </c>
      <c r="B22" t="s">
        <v>13</v>
      </c>
      <c r="C22" t="s">
        <v>14</v>
      </c>
      <c r="D22">
        <v>34415</v>
      </c>
      <c r="E22">
        <v>34256</v>
      </c>
      <c r="F22">
        <v>-159</v>
      </c>
      <c r="G22">
        <v>-4.5999999999999999E-3</v>
      </c>
      <c r="I22" t="s">
        <v>16</v>
      </c>
      <c r="J22" t="s">
        <v>14</v>
      </c>
      <c r="K22">
        <v>19</v>
      </c>
      <c r="L22">
        <v>9214.27</v>
      </c>
    </row>
    <row r="23" spans="1:12" x14ac:dyDescent="0.3">
      <c r="A23" t="s">
        <v>36</v>
      </c>
      <c r="B23" t="s">
        <v>18</v>
      </c>
      <c r="C23" t="s">
        <v>14</v>
      </c>
      <c r="D23">
        <v>110417</v>
      </c>
      <c r="E23">
        <v>80096</v>
      </c>
      <c r="F23">
        <v>-30321</v>
      </c>
      <c r="G23">
        <v>-0.27460000000000001</v>
      </c>
      <c r="H23" t="s">
        <v>22</v>
      </c>
      <c r="I23" t="s">
        <v>19</v>
      </c>
      <c r="J23" t="s">
        <v>34</v>
      </c>
      <c r="K23">
        <v>0</v>
      </c>
      <c r="L23">
        <v>12888.92</v>
      </c>
    </row>
    <row r="24" spans="1:12" x14ac:dyDescent="0.3">
      <c r="A24" t="s">
        <v>36</v>
      </c>
      <c r="B24" t="s">
        <v>21</v>
      </c>
      <c r="C24" t="s">
        <v>14</v>
      </c>
      <c r="D24">
        <v>142570</v>
      </c>
      <c r="E24">
        <v>162384</v>
      </c>
      <c r="F24">
        <v>19814</v>
      </c>
      <c r="G24">
        <v>0.13900000000000001</v>
      </c>
      <c r="I24" t="s">
        <v>16</v>
      </c>
      <c r="J24" t="s">
        <v>20</v>
      </c>
      <c r="K24">
        <v>0</v>
      </c>
      <c r="L24">
        <v>61528.81</v>
      </c>
    </row>
    <row r="25" spans="1:12" x14ac:dyDescent="0.3">
      <c r="A25" t="s">
        <v>36</v>
      </c>
      <c r="B25" t="s">
        <v>25</v>
      </c>
      <c r="C25" t="s">
        <v>14</v>
      </c>
      <c r="D25">
        <v>125055</v>
      </c>
      <c r="E25">
        <v>146322</v>
      </c>
      <c r="F25">
        <v>21267</v>
      </c>
      <c r="G25">
        <v>0.1701</v>
      </c>
      <c r="I25" t="s">
        <v>23</v>
      </c>
      <c r="J25" t="s">
        <v>20</v>
      </c>
      <c r="K25">
        <v>0</v>
      </c>
      <c r="L25">
        <v>24220.99</v>
      </c>
    </row>
    <row r="26" spans="1:12" x14ac:dyDescent="0.3">
      <c r="A26" t="s">
        <v>36</v>
      </c>
      <c r="B26" t="s">
        <v>26</v>
      </c>
      <c r="C26" t="s">
        <v>14</v>
      </c>
      <c r="D26">
        <v>74146</v>
      </c>
      <c r="E26">
        <v>103430</v>
      </c>
      <c r="F26">
        <v>29284</v>
      </c>
      <c r="G26">
        <v>0.39500000000000002</v>
      </c>
      <c r="H26" t="s">
        <v>15</v>
      </c>
      <c r="I26" t="s">
        <v>30</v>
      </c>
      <c r="J26" t="s">
        <v>20</v>
      </c>
      <c r="K26">
        <v>0</v>
      </c>
      <c r="L26">
        <v>21398.57</v>
      </c>
    </row>
    <row r="27" spans="1:12" x14ac:dyDescent="0.3">
      <c r="A27" t="s">
        <v>36</v>
      </c>
      <c r="B27" t="s">
        <v>27</v>
      </c>
      <c r="C27" t="s">
        <v>14</v>
      </c>
      <c r="D27">
        <v>137887</v>
      </c>
      <c r="E27">
        <v>116503</v>
      </c>
      <c r="F27">
        <v>-21384</v>
      </c>
      <c r="G27">
        <v>-0.15509999999999999</v>
      </c>
      <c r="I27" t="s">
        <v>16</v>
      </c>
      <c r="J27" t="s">
        <v>14</v>
      </c>
      <c r="K27">
        <v>0</v>
      </c>
      <c r="L27">
        <v>40240.65</v>
      </c>
    </row>
    <row r="28" spans="1:12" x14ac:dyDescent="0.3">
      <c r="A28" t="s">
        <v>36</v>
      </c>
      <c r="B28" t="s">
        <v>28</v>
      </c>
      <c r="C28" t="s">
        <v>14</v>
      </c>
      <c r="D28">
        <v>131894</v>
      </c>
      <c r="E28">
        <v>79961</v>
      </c>
      <c r="F28">
        <v>-51933</v>
      </c>
      <c r="G28">
        <v>-0.39369999999999999</v>
      </c>
      <c r="H28" t="s">
        <v>22</v>
      </c>
      <c r="I28" t="s">
        <v>16</v>
      </c>
      <c r="J28" t="s">
        <v>14</v>
      </c>
      <c r="K28">
        <v>0</v>
      </c>
      <c r="L28">
        <v>19626.349999999999</v>
      </c>
    </row>
    <row r="29" spans="1:12" x14ac:dyDescent="0.3">
      <c r="A29" t="s">
        <v>36</v>
      </c>
      <c r="B29" t="s">
        <v>29</v>
      </c>
      <c r="C29" t="s">
        <v>14</v>
      </c>
      <c r="D29">
        <v>110016</v>
      </c>
      <c r="E29">
        <v>92685</v>
      </c>
      <c r="F29">
        <v>-17331</v>
      </c>
      <c r="G29">
        <v>-0.1575</v>
      </c>
      <c r="I29" t="s">
        <v>16</v>
      </c>
      <c r="J29" t="s">
        <v>14</v>
      </c>
      <c r="K29">
        <v>0</v>
      </c>
      <c r="L29">
        <v>20497.37</v>
      </c>
    </row>
    <row r="30" spans="1:12" x14ac:dyDescent="0.3">
      <c r="A30" t="s">
        <v>36</v>
      </c>
      <c r="B30" t="s">
        <v>31</v>
      </c>
      <c r="C30" t="s">
        <v>14</v>
      </c>
      <c r="D30">
        <v>28435</v>
      </c>
      <c r="E30">
        <v>23559</v>
      </c>
      <c r="F30">
        <v>-4876</v>
      </c>
      <c r="G30">
        <v>-0.17150000000000001</v>
      </c>
      <c r="I30" t="s">
        <v>23</v>
      </c>
      <c r="J30" t="s">
        <v>24</v>
      </c>
      <c r="K30">
        <v>0</v>
      </c>
      <c r="L30">
        <v>7390.01</v>
      </c>
    </row>
    <row r="31" spans="1:12" x14ac:dyDescent="0.3">
      <c r="A31" t="s">
        <v>36</v>
      </c>
      <c r="B31" t="s">
        <v>32</v>
      </c>
      <c r="C31" t="s">
        <v>14</v>
      </c>
      <c r="D31">
        <v>39251</v>
      </c>
      <c r="E31">
        <v>58796</v>
      </c>
      <c r="F31">
        <v>19545</v>
      </c>
      <c r="G31">
        <v>0.49790000000000001</v>
      </c>
      <c r="H31" t="s">
        <v>15</v>
      </c>
      <c r="I31" t="s">
        <v>16</v>
      </c>
      <c r="J31" t="s">
        <v>14</v>
      </c>
      <c r="K31">
        <v>0</v>
      </c>
      <c r="L31">
        <v>23105.919999999998</v>
      </c>
    </row>
    <row r="32" spans="1:12" x14ac:dyDescent="0.3">
      <c r="A32" t="s">
        <v>37</v>
      </c>
      <c r="B32" t="s">
        <v>13</v>
      </c>
      <c r="C32" t="s">
        <v>14</v>
      </c>
      <c r="D32">
        <v>73434</v>
      </c>
      <c r="E32">
        <v>46244</v>
      </c>
      <c r="F32">
        <v>-27190</v>
      </c>
      <c r="G32">
        <v>-0.37030000000000002</v>
      </c>
      <c r="H32" t="s">
        <v>22</v>
      </c>
      <c r="I32" t="s">
        <v>35</v>
      </c>
      <c r="J32" t="s">
        <v>14</v>
      </c>
      <c r="K32">
        <v>18</v>
      </c>
      <c r="L32">
        <v>14067.96</v>
      </c>
    </row>
    <row r="33" spans="1:12" x14ac:dyDescent="0.3">
      <c r="A33" t="s">
        <v>37</v>
      </c>
      <c r="B33" t="s">
        <v>18</v>
      </c>
      <c r="C33" t="s">
        <v>14</v>
      </c>
      <c r="D33">
        <v>89021</v>
      </c>
      <c r="E33">
        <v>89288</v>
      </c>
      <c r="F33">
        <v>267</v>
      </c>
      <c r="G33">
        <v>3.0000000000000001E-3</v>
      </c>
      <c r="I33" t="s">
        <v>23</v>
      </c>
      <c r="J33" t="s">
        <v>34</v>
      </c>
      <c r="K33">
        <v>0</v>
      </c>
      <c r="L33">
        <v>18830.509999999998</v>
      </c>
    </row>
    <row r="34" spans="1:12" x14ac:dyDescent="0.3">
      <c r="A34" t="s">
        <v>37</v>
      </c>
      <c r="B34" t="s">
        <v>21</v>
      </c>
      <c r="C34" t="s">
        <v>14</v>
      </c>
      <c r="D34">
        <v>51480</v>
      </c>
      <c r="E34">
        <v>68099</v>
      </c>
      <c r="F34">
        <v>16619</v>
      </c>
      <c r="G34">
        <v>0.32279999999999998</v>
      </c>
      <c r="H34" t="s">
        <v>15</v>
      </c>
      <c r="I34" t="s">
        <v>19</v>
      </c>
      <c r="J34" t="s">
        <v>20</v>
      </c>
      <c r="K34">
        <v>0</v>
      </c>
      <c r="L34">
        <v>26900.94</v>
      </c>
    </row>
    <row r="35" spans="1:12" x14ac:dyDescent="0.3">
      <c r="A35" t="s">
        <v>37</v>
      </c>
      <c r="B35" t="s">
        <v>25</v>
      </c>
      <c r="C35" t="s">
        <v>14</v>
      </c>
      <c r="D35">
        <v>71847</v>
      </c>
      <c r="E35">
        <v>95900</v>
      </c>
      <c r="F35">
        <v>24053</v>
      </c>
      <c r="G35">
        <v>0.33479999999999999</v>
      </c>
      <c r="H35" t="s">
        <v>15</v>
      </c>
      <c r="I35" t="s">
        <v>35</v>
      </c>
      <c r="J35" t="s">
        <v>14</v>
      </c>
      <c r="K35">
        <v>0</v>
      </c>
      <c r="L35">
        <v>18818.84</v>
      </c>
    </row>
    <row r="36" spans="1:12" x14ac:dyDescent="0.3">
      <c r="A36" t="s">
        <v>37</v>
      </c>
      <c r="B36" t="s">
        <v>26</v>
      </c>
      <c r="C36" t="s">
        <v>14</v>
      </c>
      <c r="D36">
        <v>44247</v>
      </c>
      <c r="E36">
        <v>28171</v>
      </c>
      <c r="F36">
        <v>-16076</v>
      </c>
      <c r="G36">
        <v>-0.36330000000000001</v>
      </c>
      <c r="H36" t="s">
        <v>22</v>
      </c>
      <c r="I36" t="s">
        <v>23</v>
      </c>
      <c r="J36" t="s">
        <v>20</v>
      </c>
      <c r="K36">
        <v>0</v>
      </c>
      <c r="L36">
        <v>8543.4</v>
      </c>
    </row>
    <row r="37" spans="1:12" x14ac:dyDescent="0.3">
      <c r="A37" t="s">
        <v>37</v>
      </c>
      <c r="B37" t="s">
        <v>27</v>
      </c>
      <c r="C37" t="s">
        <v>14</v>
      </c>
      <c r="D37">
        <v>22156</v>
      </c>
      <c r="E37">
        <v>23504</v>
      </c>
      <c r="F37">
        <v>1348</v>
      </c>
      <c r="G37">
        <v>6.08E-2</v>
      </c>
      <c r="I37" t="s">
        <v>16</v>
      </c>
      <c r="J37" t="s">
        <v>20</v>
      </c>
      <c r="K37">
        <v>0</v>
      </c>
      <c r="L37">
        <v>6899.64</v>
      </c>
    </row>
    <row r="38" spans="1:12" x14ac:dyDescent="0.3">
      <c r="A38" t="s">
        <v>37</v>
      </c>
      <c r="B38" t="s">
        <v>28</v>
      </c>
      <c r="C38" t="s">
        <v>14</v>
      </c>
      <c r="D38">
        <v>42667</v>
      </c>
      <c r="E38">
        <v>52132</v>
      </c>
      <c r="F38">
        <v>9465</v>
      </c>
      <c r="G38">
        <v>0.2218</v>
      </c>
      <c r="H38" t="s">
        <v>15</v>
      </c>
      <c r="I38" t="s">
        <v>30</v>
      </c>
      <c r="J38" t="s">
        <v>14</v>
      </c>
      <c r="K38">
        <v>0</v>
      </c>
      <c r="L38">
        <v>15780.72</v>
      </c>
    </row>
    <row r="39" spans="1:12" x14ac:dyDescent="0.3">
      <c r="A39" t="s">
        <v>37</v>
      </c>
      <c r="B39" t="s">
        <v>29</v>
      </c>
      <c r="C39" t="s">
        <v>14</v>
      </c>
      <c r="D39">
        <v>115578</v>
      </c>
      <c r="E39">
        <v>91094</v>
      </c>
      <c r="F39">
        <v>-24484</v>
      </c>
      <c r="G39">
        <v>-0.21179999999999999</v>
      </c>
      <c r="H39" t="s">
        <v>22</v>
      </c>
      <c r="I39" t="s">
        <v>30</v>
      </c>
      <c r="J39" t="s">
        <v>34</v>
      </c>
      <c r="K39">
        <v>0</v>
      </c>
      <c r="L39">
        <v>15355.26</v>
      </c>
    </row>
    <row r="40" spans="1:12" x14ac:dyDescent="0.3">
      <c r="A40" t="s">
        <v>37</v>
      </c>
      <c r="B40" t="s">
        <v>31</v>
      </c>
      <c r="C40" t="s">
        <v>14</v>
      </c>
      <c r="D40">
        <v>42744</v>
      </c>
      <c r="E40">
        <v>63430</v>
      </c>
      <c r="F40">
        <v>20686</v>
      </c>
      <c r="G40">
        <v>0.48399999999999999</v>
      </c>
      <c r="H40" t="s">
        <v>15</v>
      </c>
      <c r="I40" t="s">
        <v>23</v>
      </c>
      <c r="J40" t="s">
        <v>20</v>
      </c>
      <c r="K40">
        <v>0</v>
      </c>
      <c r="L40">
        <v>11306.32</v>
      </c>
    </row>
    <row r="41" spans="1:12" x14ac:dyDescent="0.3">
      <c r="A41" t="s">
        <v>37</v>
      </c>
      <c r="B41" t="s">
        <v>32</v>
      </c>
      <c r="C41" t="s">
        <v>14</v>
      </c>
      <c r="D41">
        <v>149512</v>
      </c>
      <c r="E41">
        <v>219614</v>
      </c>
      <c r="F41">
        <v>70102</v>
      </c>
      <c r="G41">
        <v>0.46889999999999998</v>
      </c>
      <c r="H41" t="s">
        <v>15</v>
      </c>
      <c r="I41" t="s">
        <v>19</v>
      </c>
      <c r="J41" t="s">
        <v>17</v>
      </c>
      <c r="K41">
        <v>0</v>
      </c>
      <c r="L41">
        <v>80113.19</v>
      </c>
    </row>
    <row r="42" spans="1:12" x14ac:dyDescent="0.3">
      <c r="A42" t="s">
        <v>38</v>
      </c>
      <c r="B42" t="s">
        <v>13</v>
      </c>
      <c r="C42" t="s">
        <v>14</v>
      </c>
      <c r="D42">
        <v>44531</v>
      </c>
      <c r="E42">
        <v>37895</v>
      </c>
      <c r="F42">
        <v>-6636</v>
      </c>
      <c r="G42">
        <v>-0.14899999999999999</v>
      </c>
      <c r="I42" t="s">
        <v>16</v>
      </c>
      <c r="J42" t="s">
        <v>34</v>
      </c>
      <c r="K42">
        <v>19</v>
      </c>
      <c r="L42">
        <v>13874.34</v>
      </c>
    </row>
    <row r="43" spans="1:12" x14ac:dyDescent="0.3">
      <c r="A43" t="s">
        <v>38</v>
      </c>
      <c r="B43" t="s">
        <v>18</v>
      </c>
      <c r="C43" t="s">
        <v>14</v>
      </c>
      <c r="D43">
        <v>121383</v>
      </c>
      <c r="E43">
        <v>142968</v>
      </c>
      <c r="F43">
        <v>21585</v>
      </c>
      <c r="G43">
        <v>0.17780000000000001</v>
      </c>
      <c r="I43" t="s">
        <v>16</v>
      </c>
      <c r="J43" t="s">
        <v>14</v>
      </c>
      <c r="K43">
        <v>0</v>
      </c>
      <c r="L43">
        <v>21229.119999999999</v>
      </c>
    </row>
    <row r="44" spans="1:12" x14ac:dyDescent="0.3">
      <c r="A44" t="s">
        <v>38</v>
      </c>
      <c r="B44" t="s">
        <v>21</v>
      </c>
      <c r="C44" t="s">
        <v>14</v>
      </c>
      <c r="D44">
        <v>136812</v>
      </c>
      <c r="E44">
        <v>156757</v>
      </c>
      <c r="F44">
        <v>19945</v>
      </c>
      <c r="G44">
        <v>0.14580000000000001</v>
      </c>
      <c r="I44" t="s">
        <v>16</v>
      </c>
      <c r="J44" t="s">
        <v>14</v>
      </c>
      <c r="K44">
        <v>0</v>
      </c>
      <c r="L44">
        <v>46878.26</v>
      </c>
    </row>
    <row r="45" spans="1:12" x14ac:dyDescent="0.3">
      <c r="A45" t="s">
        <v>38</v>
      </c>
      <c r="B45" t="s">
        <v>25</v>
      </c>
      <c r="C45" t="s">
        <v>14</v>
      </c>
      <c r="D45">
        <v>20658</v>
      </c>
      <c r="E45">
        <v>15384</v>
      </c>
      <c r="F45">
        <v>-5274</v>
      </c>
      <c r="G45">
        <v>-0.25530000000000003</v>
      </c>
      <c r="H45" t="s">
        <v>22</v>
      </c>
      <c r="I45" t="s">
        <v>30</v>
      </c>
      <c r="J45" t="s">
        <v>24</v>
      </c>
      <c r="K45">
        <v>0</v>
      </c>
      <c r="L45">
        <v>4731.63</v>
      </c>
    </row>
    <row r="46" spans="1:12" x14ac:dyDescent="0.3">
      <c r="A46" t="s">
        <v>38</v>
      </c>
      <c r="B46" t="s">
        <v>26</v>
      </c>
      <c r="C46" t="s">
        <v>14</v>
      </c>
      <c r="D46">
        <v>104754</v>
      </c>
      <c r="E46">
        <v>83996</v>
      </c>
      <c r="F46">
        <v>-20758</v>
      </c>
      <c r="G46">
        <v>-0.19819999999999999</v>
      </c>
      <c r="I46" t="s">
        <v>35</v>
      </c>
      <c r="J46" t="s">
        <v>20</v>
      </c>
      <c r="K46">
        <v>0</v>
      </c>
      <c r="L46">
        <v>14377.99</v>
      </c>
    </row>
    <row r="47" spans="1:12" x14ac:dyDescent="0.3">
      <c r="A47" t="s">
        <v>38</v>
      </c>
      <c r="B47" t="s">
        <v>27</v>
      </c>
      <c r="C47" t="s">
        <v>14</v>
      </c>
      <c r="D47">
        <v>62301</v>
      </c>
      <c r="E47">
        <v>79237</v>
      </c>
      <c r="F47">
        <v>16936</v>
      </c>
      <c r="G47">
        <v>0.27179999999999999</v>
      </c>
      <c r="H47" t="s">
        <v>15</v>
      </c>
      <c r="I47" t="s">
        <v>16</v>
      </c>
      <c r="J47" t="s">
        <v>14</v>
      </c>
      <c r="K47">
        <v>0</v>
      </c>
      <c r="L47">
        <v>15246.64</v>
      </c>
    </row>
    <row r="48" spans="1:12" x14ac:dyDescent="0.3">
      <c r="A48" t="s">
        <v>38</v>
      </c>
      <c r="B48" t="s">
        <v>28</v>
      </c>
      <c r="C48" t="s">
        <v>14</v>
      </c>
      <c r="D48">
        <v>90530</v>
      </c>
      <c r="E48">
        <v>95774</v>
      </c>
      <c r="F48">
        <v>5244</v>
      </c>
      <c r="G48">
        <v>5.79E-2</v>
      </c>
      <c r="I48" t="s">
        <v>19</v>
      </c>
      <c r="J48" t="s">
        <v>34</v>
      </c>
      <c r="K48">
        <v>0</v>
      </c>
      <c r="L48">
        <v>35207.86</v>
      </c>
    </row>
    <row r="49" spans="1:12" x14ac:dyDescent="0.3">
      <c r="A49" t="s">
        <v>38</v>
      </c>
      <c r="B49" t="s">
        <v>29</v>
      </c>
      <c r="C49" t="s">
        <v>14</v>
      </c>
      <c r="D49">
        <v>102048</v>
      </c>
      <c r="E49">
        <v>134226</v>
      </c>
      <c r="F49">
        <v>32178</v>
      </c>
      <c r="G49">
        <v>0.31530000000000002</v>
      </c>
      <c r="H49" t="s">
        <v>15</v>
      </c>
      <c r="I49" t="s">
        <v>35</v>
      </c>
      <c r="J49" t="s">
        <v>20</v>
      </c>
      <c r="K49">
        <v>0</v>
      </c>
      <c r="L49">
        <v>40358.699999999997</v>
      </c>
    </row>
    <row r="50" spans="1:12" x14ac:dyDescent="0.3">
      <c r="A50" t="s">
        <v>38</v>
      </c>
      <c r="B50" t="s">
        <v>31</v>
      </c>
      <c r="C50" t="s">
        <v>14</v>
      </c>
      <c r="D50">
        <v>132341</v>
      </c>
      <c r="E50">
        <v>106821</v>
      </c>
      <c r="F50">
        <v>-25520</v>
      </c>
      <c r="G50">
        <v>-0.1928</v>
      </c>
      <c r="I50" t="s">
        <v>16</v>
      </c>
      <c r="J50" t="s">
        <v>20</v>
      </c>
      <c r="K50">
        <v>0</v>
      </c>
      <c r="L50">
        <v>11461.34</v>
      </c>
    </row>
    <row r="51" spans="1:12" x14ac:dyDescent="0.3">
      <c r="A51" t="s">
        <v>38</v>
      </c>
      <c r="B51" t="s">
        <v>32</v>
      </c>
      <c r="C51" t="s">
        <v>14</v>
      </c>
      <c r="D51">
        <v>103911</v>
      </c>
      <c r="E51">
        <v>78909</v>
      </c>
      <c r="F51">
        <v>-25002</v>
      </c>
      <c r="G51">
        <v>-0.24060000000000001</v>
      </c>
      <c r="H51" t="s">
        <v>22</v>
      </c>
      <c r="I51" t="s">
        <v>23</v>
      </c>
      <c r="J51" t="s">
        <v>17</v>
      </c>
      <c r="K51">
        <v>0</v>
      </c>
      <c r="L51">
        <v>14508.85</v>
      </c>
    </row>
    <row r="52" spans="1:12" x14ac:dyDescent="0.3">
      <c r="A52" t="s">
        <v>39</v>
      </c>
      <c r="B52" t="s">
        <v>13</v>
      </c>
      <c r="C52" t="s">
        <v>14</v>
      </c>
      <c r="D52">
        <v>134854</v>
      </c>
      <c r="E52">
        <v>171661</v>
      </c>
      <c r="F52">
        <v>36807</v>
      </c>
      <c r="G52">
        <v>0.27289999999999998</v>
      </c>
      <c r="H52" t="s">
        <v>15</v>
      </c>
      <c r="I52" t="s">
        <v>19</v>
      </c>
      <c r="J52" t="s">
        <v>17</v>
      </c>
      <c r="K52">
        <v>16</v>
      </c>
      <c r="L52">
        <v>45632.56</v>
      </c>
    </row>
    <row r="53" spans="1:12" x14ac:dyDescent="0.3">
      <c r="A53" t="s">
        <v>39</v>
      </c>
      <c r="B53" t="s">
        <v>18</v>
      </c>
      <c r="C53" t="s">
        <v>14</v>
      </c>
      <c r="D53">
        <v>94398</v>
      </c>
      <c r="E53">
        <v>139926</v>
      </c>
      <c r="F53">
        <v>45528</v>
      </c>
      <c r="G53">
        <v>0.48230000000000001</v>
      </c>
      <c r="H53" t="s">
        <v>15</v>
      </c>
      <c r="I53" t="s">
        <v>23</v>
      </c>
      <c r="J53" t="s">
        <v>17</v>
      </c>
      <c r="K53">
        <v>0</v>
      </c>
      <c r="L53">
        <v>30158.16</v>
      </c>
    </row>
    <row r="54" spans="1:12" x14ac:dyDescent="0.3">
      <c r="A54" t="s">
        <v>39</v>
      </c>
      <c r="B54" t="s">
        <v>21</v>
      </c>
      <c r="C54" t="s">
        <v>14</v>
      </c>
      <c r="D54">
        <v>130647</v>
      </c>
      <c r="E54">
        <v>115652</v>
      </c>
      <c r="F54">
        <v>-14995</v>
      </c>
      <c r="G54">
        <v>-0.1148</v>
      </c>
      <c r="I54" t="s">
        <v>30</v>
      </c>
      <c r="J54" t="s">
        <v>14</v>
      </c>
      <c r="K54">
        <v>0</v>
      </c>
      <c r="L54">
        <v>25259.26</v>
      </c>
    </row>
    <row r="55" spans="1:12" x14ac:dyDescent="0.3">
      <c r="A55" t="s">
        <v>39</v>
      </c>
      <c r="B55" t="s">
        <v>25</v>
      </c>
      <c r="C55" t="s">
        <v>14</v>
      </c>
      <c r="D55">
        <v>129747</v>
      </c>
      <c r="E55">
        <v>186448</v>
      </c>
      <c r="F55">
        <v>56701</v>
      </c>
      <c r="G55">
        <v>0.437</v>
      </c>
      <c r="H55" t="s">
        <v>15</v>
      </c>
      <c r="I55" t="s">
        <v>30</v>
      </c>
      <c r="J55" t="s">
        <v>24</v>
      </c>
      <c r="K55">
        <v>0</v>
      </c>
      <c r="L55">
        <v>32861.29</v>
      </c>
    </row>
    <row r="56" spans="1:12" x14ac:dyDescent="0.3">
      <c r="A56" t="s">
        <v>39</v>
      </c>
      <c r="B56" t="s">
        <v>26</v>
      </c>
      <c r="C56" t="s">
        <v>14</v>
      </c>
      <c r="D56">
        <v>58387</v>
      </c>
      <c r="E56">
        <v>51981</v>
      </c>
      <c r="F56">
        <v>-6406</v>
      </c>
      <c r="G56">
        <v>-0.10970000000000001</v>
      </c>
      <c r="I56" t="s">
        <v>35</v>
      </c>
      <c r="J56" t="s">
        <v>14</v>
      </c>
      <c r="K56">
        <v>0</v>
      </c>
      <c r="L56">
        <v>16152.85</v>
      </c>
    </row>
    <row r="57" spans="1:12" x14ac:dyDescent="0.3">
      <c r="A57" t="s">
        <v>39</v>
      </c>
      <c r="B57" t="s">
        <v>27</v>
      </c>
      <c r="C57" t="s">
        <v>14</v>
      </c>
      <c r="D57">
        <v>66733</v>
      </c>
      <c r="E57">
        <v>57672</v>
      </c>
      <c r="F57">
        <v>-9061</v>
      </c>
      <c r="G57">
        <v>-0.1358</v>
      </c>
      <c r="I57" t="s">
        <v>30</v>
      </c>
      <c r="J57" t="s">
        <v>34</v>
      </c>
      <c r="K57">
        <v>0</v>
      </c>
      <c r="L57">
        <v>10199.99</v>
      </c>
    </row>
    <row r="58" spans="1:12" x14ac:dyDescent="0.3">
      <c r="A58" t="s">
        <v>39</v>
      </c>
      <c r="B58" t="s">
        <v>28</v>
      </c>
      <c r="C58" t="s">
        <v>14</v>
      </c>
      <c r="D58">
        <v>99496</v>
      </c>
      <c r="E58">
        <v>67004</v>
      </c>
      <c r="F58">
        <v>-32492</v>
      </c>
      <c r="G58">
        <v>-0.3266</v>
      </c>
      <c r="H58" t="s">
        <v>22</v>
      </c>
      <c r="I58" t="s">
        <v>35</v>
      </c>
      <c r="J58" t="s">
        <v>20</v>
      </c>
      <c r="K58">
        <v>0</v>
      </c>
      <c r="L58">
        <v>22747.09</v>
      </c>
    </row>
    <row r="59" spans="1:12" x14ac:dyDescent="0.3">
      <c r="A59" t="s">
        <v>39</v>
      </c>
      <c r="B59" t="s">
        <v>29</v>
      </c>
      <c r="C59" t="s">
        <v>14</v>
      </c>
      <c r="D59">
        <v>104495</v>
      </c>
      <c r="E59">
        <v>128713</v>
      </c>
      <c r="F59">
        <v>24218</v>
      </c>
      <c r="G59">
        <v>0.23180000000000001</v>
      </c>
      <c r="H59" t="s">
        <v>15</v>
      </c>
      <c r="I59" t="s">
        <v>23</v>
      </c>
      <c r="J59" t="s">
        <v>34</v>
      </c>
      <c r="K59">
        <v>0</v>
      </c>
      <c r="L59">
        <v>25922.61</v>
      </c>
    </row>
    <row r="60" spans="1:12" x14ac:dyDescent="0.3">
      <c r="A60" t="s">
        <v>39</v>
      </c>
      <c r="B60" t="s">
        <v>31</v>
      </c>
      <c r="C60" t="s">
        <v>14</v>
      </c>
      <c r="D60">
        <v>68825</v>
      </c>
      <c r="E60">
        <v>47116</v>
      </c>
      <c r="F60">
        <v>-21709</v>
      </c>
      <c r="G60">
        <v>-0.31540000000000001</v>
      </c>
      <c r="H60" t="s">
        <v>22</v>
      </c>
      <c r="I60" t="s">
        <v>16</v>
      </c>
      <c r="J60" t="s">
        <v>14</v>
      </c>
      <c r="K60">
        <v>0</v>
      </c>
      <c r="L60">
        <v>6903.08</v>
      </c>
    </row>
    <row r="61" spans="1:12" x14ac:dyDescent="0.3">
      <c r="A61" t="s">
        <v>39</v>
      </c>
      <c r="B61" t="s">
        <v>32</v>
      </c>
      <c r="C61" t="s">
        <v>14</v>
      </c>
      <c r="D61">
        <v>147639</v>
      </c>
      <c r="E61">
        <v>200056</v>
      </c>
      <c r="F61">
        <v>52417</v>
      </c>
      <c r="G61">
        <v>0.35499999999999998</v>
      </c>
      <c r="H61" t="s">
        <v>15</v>
      </c>
      <c r="I61" t="s">
        <v>30</v>
      </c>
      <c r="J61" t="s">
        <v>14</v>
      </c>
      <c r="K61">
        <v>0</v>
      </c>
      <c r="L61">
        <v>22247.119999999999</v>
      </c>
    </row>
    <row r="62" spans="1:12" x14ac:dyDescent="0.3">
      <c r="A62" t="s">
        <v>40</v>
      </c>
      <c r="B62" t="s">
        <v>13</v>
      </c>
      <c r="C62" t="s">
        <v>14</v>
      </c>
      <c r="D62">
        <v>126938</v>
      </c>
      <c r="E62">
        <v>117312</v>
      </c>
      <c r="F62">
        <v>-9626</v>
      </c>
      <c r="G62">
        <v>-7.5800000000000006E-2</v>
      </c>
      <c r="I62" t="s">
        <v>23</v>
      </c>
      <c r="J62" t="s">
        <v>17</v>
      </c>
      <c r="K62">
        <v>0</v>
      </c>
      <c r="L62">
        <v>40866.89</v>
      </c>
    </row>
    <row r="63" spans="1:12" x14ac:dyDescent="0.3">
      <c r="A63" t="s">
        <v>40</v>
      </c>
      <c r="B63" t="s">
        <v>18</v>
      </c>
      <c r="C63" t="s">
        <v>14</v>
      </c>
      <c r="D63">
        <v>55300</v>
      </c>
      <c r="E63">
        <v>81220</v>
      </c>
      <c r="F63">
        <v>25920</v>
      </c>
      <c r="G63">
        <v>0.46870000000000001</v>
      </c>
      <c r="H63" t="s">
        <v>15</v>
      </c>
      <c r="I63" t="s">
        <v>23</v>
      </c>
      <c r="J63" t="s">
        <v>17</v>
      </c>
      <c r="K63">
        <v>0</v>
      </c>
      <c r="L63">
        <v>12858.26</v>
      </c>
    </row>
    <row r="64" spans="1:12" x14ac:dyDescent="0.3">
      <c r="A64" t="s">
        <v>40</v>
      </c>
      <c r="B64" t="s">
        <v>21</v>
      </c>
      <c r="C64" t="s">
        <v>14</v>
      </c>
      <c r="D64">
        <v>73476</v>
      </c>
      <c r="E64">
        <v>90343</v>
      </c>
      <c r="F64">
        <v>16867</v>
      </c>
      <c r="G64">
        <v>0.2296</v>
      </c>
      <c r="H64" t="s">
        <v>15</v>
      </c>
      <c r="I64" t="s">
        <v>23</v>
      </c>
      <c r="J64" t="s">
        <v>17</v>
      </c>
      <c r="K64">
        <v>0</v>
      </c>
      <c r="L64">
        <v>35311.56</v>
      </c>
    </row>
    <row r="65" spans="1:12" x14ac:dyDescent="0.3">
      <c r="A65" t="s">
        <v>40</v>
      </c>
      <c r="B65" t="s">
        <v>25</v>
      </c>
      <c r="C65" t="s">
        <v>14</v>
      </c>
      <c r="D65">
        <v>112897</v>
      </c>
      <c r="E65">
        <v>71910</v>
      </c>
      <c r="F65">
        <v>-40987</v>
      </c>
      <c r="G65">
        <v>-0.36299999999999999</v>
      </c>
      <c r="H65" t="s">
        <v>22</v>
      </c>
      <c r="I65" t="s">
        <v>16</v>
      </c>
      <c r="J65" t="s">
        <v>20</v>
      </c>
      <c r="K65">
        <v>0</v>
      </c>
      <c r="L65">
        <v>23242.23</v>
      </c>
    </row>
    <row r="66" spans="1:12" x14ac:dyDescent="0.3">
      <c r="A66" t="s">
        <v>40</v>
      </c>
      <c r="B66" t="s">
        <v>26</v>
      </c>
      <c r="C66" t="s">
        <v>14</v>
      </c>
      <c r="D66">
        <v>52611</v>
      </c>
      <c r="E66">
        <v>40294</v>
      </c>
      <c r="F66">
        <v>-12317</v>
      </c>
      <c r="G66">
        <v>-0.2341</v>
      </c>
      <c r="H66" t="s">
        <v>22</v>
      </c>
      <c r="I66" t="s">
        <v>35</v>
      </c>
      <c r="J66" t="s">
        <v>20</v>
      </c>
      <c r="K66">
        <v>0</v>
      </c>
      <c r="L66">
        <v>8972.9</v>
      </c>
    </row>
    <row r="67" spans="1:12" x14ac:dyDescent="0.3">
      <c r="A67" t="s">
        <v>40</v>
      </c>
      <c r="B67" t="s">
        <v>27</v>
      </c>
      <c r="C67" t="s">
        <v>14</v>
      </c>
      <c r="D67">
        <v>42528</v>
      </c>
      <c r="E67">
        <v>31504</v>
      </c>
      <c r="F67">
        <v>-11024</v>
      </c>
      <c r="G67">
        <v>-0.25919999999999999</v>
      </c>
      <c r="H67" t="s">
        <v>22</v>
      </c>
      <c r="I67" t="s">
        <v>30</v>
      </c>
      <c r="J67" t="s">
        <v>14</v>
      </c>
      <c r="K67">
        <v>0</v>
      </c>
      <c r="L67">
        <v>9390.06</v>
      </c>
    </row>
    <row r="68" spans="1:12" x14ac:dyDescent="0.3">
      <c r="A68" t="s">
        <v>40</v>
      </c>
      <c r="B68" t="s">
        <v>28</v>
      </c>
      <c r="C68" t="s">
        <v>14</v>
      </c>
      <c r="D68">
        <v>56391</v>
      </c>
      <c r="E68">
        <v>82295</v>
      </c>
      <c r="F68">
        <v>25904</v>
      </c>
      <c r="G68">
        <v>0.45939999999999998</v>
      </c>
      <c r="H68" t="s">
        <v>15</v>
      </c>
      <c r="I68" t="s">
        <v>19</v>
      </c>
      <c r="J68" t="s">
        <v>17</v>
      </c>
      <c r="K68">
        <v>0</v>
      </c>
      <c r="L68">
        <v>18588.8</v>
      </c>
    </row>
    <row r="69" spans="1:12" x14ac:dyDescent="0.3">
      <c r="A69" t="s">
        <v>40</v>
      </c>
      <c r="B69" t="s">
        <v>29</v>
      </c>
      <c r="C69" t="s">
        <v>14</v>
      </c>
      <c r="D69">
        <v>52205</v>
      </c>
      <c r="E69">
        <v>48048</v>
      </c>
      <c r="F69">
        <v>-4157</v>
      </c>
      <c r="G69">
        <v>-7.9600000000000004E-2</v>
      </c>
      <c r="I69" t="s">
        <v>19</v>
      </c>
      <c r="J69" t="s">
        <v>14</v>
      </c>
      <c r="K69">
        <v>0</v>
      </c>
      <c r="L69">
        <v>9732.7900000000009</v>
      </c>
    </row>
    <row r="70" spans="1:12" x14ac:dyDescent="0.3">
      <c r="A70" t="s">
        <v>40</v>
      </c>
      <c r="B70" t="s">
        <v>31</v>
      </c>
      <c r="C70" t="s">
        <v>14</v>
      </c>
      <c r="D70">
        <v>31933</v>
      </c>
      <c r="E70">
        <v>21865</v>
      </c>
      <c r="F70">
        <v>-10068</v>
      </c>
      <c r="G70">
        <v>-0.31530000000000002</v>
      </c>
      <c r="H70" t="s">
        <v>22</v>
      </c>
      <c r="I70" t="s">
        <v>23</v>
      </c>
      <c r="J70" t="s">
        <v>17</v>
      </c>
      <c r="K70">
        <v>0</v>
      </c>
      <c r="L70">
        <v>5296.84</v>
      </c>
    </row>
    <row r="71" spans="1:12" x14ac:dyDescent="0.3">
      <c r="A71" t="s">
        <v>40</v>
      </c>
      <c r="B71" t="s">
        <v>32</v>
      </c>
      <c r="C71" t="s">
        <v>14</v>
      </c>
      <c r="D71">
        <v>32718</v>
      </c>
      <c r="E71">
        <v>34107</v>
      </c>
      <c r="F71">
        <v>1389</v>
      </c>
      <c r="G71">
        <v>4.2500000000000003E-2</v>
      </c>
      <c r="I71" t="s">
        <v>23</v>
      </c>
      <c r="J71" t="s">
        <v>14</v>
      </c>
      <c r="K71">
        <v>0</v>
      </c>
      <c r="L71">
        <v>8165.29</v>
      </c>
    </row>
    <row r="72" spans="1:12" x14ac:dyDescent="0.3">
      <c r="A72" t="s">
        <v>41</v>
      </c>
      <c r="B72" t="s">
        <v>13</v>
      </c>
      <c r="C72" t="s">
        <v>14</v>
      </c>
      <c r="D72">
        <v>104470</v>
      </c>
      <c r="E72">
        <v>67200</v>
      </c>
      <c r="F72">
        <v>-37270</v>
      </c>
      <c r="G72">
        <v>-0.35680000000000001</v>
      </c>
      <c r="H72" t="s">
        <v>22</v>
      </c>
      <c r="I72" t="s">
        <v>19</v>
      </c>
      <c r="J72" t="s">
        <v>20</v>
      </c>
      <c r="K72">
        <v>1</v>
      </c>
      <c r="L72">
        <v>11979.62</v>
      </c>
    </row>
    <row r="73" spans="1:12" x14ac:dyDescent="0.3">
      <c r="A73" t="s">
        <v>41</v>
      </c>
      <c r="B73" t="s">
        <v>18</v>
      </c>
      <c r="C73" t="s">
        <v>14</v>
      </c>
      <c r="D73">
        <v>21989</v>
      </c>
      <c r="E73">
        <v>31666</v>
      </c>
      <c r="F73">
        <v>9677</v>
      </c>
      <c r="G73">
        <v>0.44009999999999999</v>
      </c>
      <c r="H73" t="s">
        <v>15</v>
      </c>
      <c r="I73" t="s">
        <v>35</v>
      </c>
      <c r="J73" t="s">
        <v>17</v>
      </c>
      <c r="K73">
        <v>0</v>
      </c>
      <c r="L73">
        <v>9664.1200000000008</v>
      </c>
    </row>
    <row r="74" spans="1:12" x14ac:dyDescent="0.3">
      <c r="A74" t="s">
        <v>41</v>
      </c>
      <c r="B74" t="s">
        <v>21</v>
      </c>
      <c r="C74" t="s">
        <v>14</v>
      </c>
      <c r="D74">
        <v>100060</v>
      </c>
      <c r="E74">
        <v>145037</v>
      </c>
      <c r="F74">
        <v>44977</v>
      </c>
      <c r="G74">
        <v>0.44950000000000001</v>
      </c>
      <c r="H74" t="s">
        <v>15</v>
      </c>
      <c r="I74" t="s">
        <v>30</v>
      </c>
      <c r="J74" t="s">
        <v>14</v>
      </c>
      <c r="K74">
        <v>0</v>
      </c>
      <c r="L74">
        <v>52236.480000000003</v>
      </c>
    </row>
    <row r="75" spans="1:12" x14ac:dyDescent="0.3">
      <c r="A75" t="s">
        <v>41</v>
      </c>
      <c r="B75" t="s">
        <v>25</v>
      </c>
      <c r="C75" t="s">
        <v>14</v>
      </c>
      <c r="D75">
        <v>102732</v>
      </c>
      <c r="E75">
        <v>135694</v>
      </c>
      <c r="F75">
        <v>32962</v>
      </c>
      <c r="G75">
        <v>0.32090000000000002</v>
      </c>
      <c r="H75" t="s">
        <v>15</v>
      </c>
      <c r="I75" t="s">
        <v>23</v>
      </c>
      <c r="J75" t="s">
        <v>24</v>
      </c>
      <c r="K75">
        <v>0</v>
      </c>
      <c r="L75">
        <v>36910.14</v>
      </c>
    </row>
    <row r="76" spans="1:12" x14ac:dyDescent="0.3">
      <c r="A76" t="s">
        <v>41</v>
      </c>
      <c r="B76" t="s">
        <v>26</v>
      </c>
      <c r="C76" t="s">
        <v>14</v>
      </c>
      <c r="D76">
        <v>36705</v>
      </c>
      <c r="E76">
        <v>48820</v>
      </c>
      <c r="F76">
        <v>12115</v>
      </c>
      <c r="G76">
        <v>0.3301</v>
      </c>
      <c r="H76" t="s">
        <v>15</v>
      </c>
      <c r="I76" t="s">
        <v>16</v>
      </c>
      <c r="J76" t="s">
        <v>17</v>
      </c>
      <c r="K76">
        <v>0</v>
      </c>
      <c r="L76">
        <v>14049.51</v>
      </c>
    </row>
    <row r="77" spans="1:12" x14ac:dyDescent="0.3">
      <c r="A77" t="s">
        <v>41</v>
      </c>
      <c r="B77" t="s">
        <v>27</v>
      </c>
      <c r="C77" t="s">
        <v>14</v>
      </c>
      <c r="D77">
        <v>126655</v>
      </c>
      <c r="E77">
        <v>150255</v>
      </c>
      <c r="F77">
        <v>23600</v>
      </c>
      <c r="G77">
        <v>0.18629999999999999</v>
      </c>
      <c r="I77" t="s">
        <v>16</v>
      </c>
      <c r="J77" t="s">
        <v>20</v>
      </c>
      <c r="K77">
        <v>0</v>
      </c>
      <c r="L77">
        <v>27374.71</v>
      </c>
    </row>
    <row r="78" spans="1:12" x14ac:dyDescent="0.3">
      <c r="A78" t="s">
        <v>41</v>
      </c>
      <c r="B78" t="s">
        <v>28</v>
      </c>
      <c r="C78" t="s">
        <v>14</v>
      </c>
      <c r="D78">
        <v>47896</v>
      </c>
      <c r="E78">
        <v>44999</v>
      </c>
      <c r="F78">
        <v>-2897</v>
      </c>
      <c r="G78">
        <v>-6.0499999999999998E-2</v>
      </c>
      <c r="I78" t="s">
        <v>19</v>
      </c>
      <c r="J78" t="s">
        <v>34</v>
      </c>
      <c r="K78">
        <v>0</v>
      </c>
      <c r="L78">
        <v>12846.14</v>
      </c>
    </row>
    <row r="79" spans="1:12" x14ac:dyDescent="0.3">
      <c r="A79" t="s">
        <v>41</v>
      </c>
      <c r="B79" t="s">
        <v>29</v>
      </c>
      <c r="C79" t="s">
        <v>14</v>
      </c>
      <c r="D79">
        <v>63752</v>
      </c>
      <c r="E79">
        <v>75874</v>
      </c>
      <c r="F79">
        <v>12122</v>
      </c>
      <c r="G79">
        <v>0.19009999999999999</v>
      </c>
      <c r="I79" t="s">
        <v>19</v>
      </c>
      <c r="J79" t="s">
        <v>24</v>
      </c>
      <c r="K79">
        <v>0</v>
      </c>
      <c r="L79">
        <v>23102.43</v>
      </c>
    </row>
    <row r="80" spans="1:12" x14ac:dyDescent="0.3">
      <c r="A80" t="s">
        <v>41</v>
      </c>
      <c r="B80" t="s">
        <v>31</v>
      </c>
      <c r="C80" t="s">
        <v>14</v>
      </c>
      <c r="D80">
        <v>64281</v>
      </c>
      <c r="E80">
        <v>53650</v>
      </c>
      <c r="F80">
        <v>-10631</v>
      </c>
      <c r="G80">
        <v>-0.16539999999999999</v>
      </c>
      <c r="I80" t="s">
        <v>23</v>
      </c>
      <c r="J80" t="s">
        <v>24</v>
      </c>
      <c r="K80">
        <v>0</v>
      </c>
      <c r="L80">
        <v>16578.98</v>
      </c>
    </row>
    <row r="81" spans="1:12" x14ac:dyDescent="0.3">
      <c r="A81" t="s">
        <v>41</v>
      </c>
      <c r="B81" t="s">
        <v>32</v>
      </c>
      <c r="C81" t="s">
        <v>14</v>
      </c>
      <c r="D81">
        <v>101762</v>
      </c>
      <c r="E81">
        <v>141421</v>
      </c>
      <c r="F81">
        <v>39659</v>
      </c>
      <c r="G81">
        <v>0.38969999999999999</v>
      </c>
      <c r="H81" t="s">
        <v>15</v>
      </c>
      <c r="I81" t="s">
        <v>23</v>
      </c>
      <c r="J81" t="s">
        <v>14</v>
      </c>
      <c r="K81">
        <v>0</v>
      </c>
      <c r="L81">
        <v>48230.82</v>
      </c>
    </row>
    <row r="82" spans="1:12" x14ac:dyDescent="0.3">
      <c r="A82" t="s">
        <v>42</v>
      </c>
      <c r="B82" t="s">
        <v>13</v>
      </c>
      <c r="C82" t="s">
        <v>14</v>
      </c>
      <c r="D82">
        <v>56664</v>
      </c>
      <c r="E82">
        <v>43047</v>
      </c>
      <c r="F82">
        <v>-13617</v>
      </c>
      <c r="G82">
        <v>-0.24030000000000001</v>
      </c>
      <c r="H82" t="s">
        <v>22</v>
      </c>
      <c r="I82" t="s">
        <v>35</v>
      </c>
      <c r="J82" t="s">
        <v>34</v>
      </c>
      <c r="K82">
        <v>16</v>
      </c>
      <c r="L82">
        <v>13753.27</v>
      </c>
    </row>
    <row r="83" spans="1:12" x14ac:dyDescent="0.3">
      <c r="A83" t="s">
        <v>42</v>
      </c>
      <c r="B83" t="s">
        <v>18</v>
      </c>
      <c r="C83" t="s">
        <v>14</v>
      </c>
      <c r="D83">
        <v>36599</v>
      </c>
      <c r="E83">
        <v>30194</v>
      </c>
      <c r="F83">
        <v>-6405</v>
      </c>
      <c r="G83">
        <v>-0.17499999999999999</v>
      </c>
      <c r="I83" t="s">
        <v>19</v>
      </c>
      <c r="J83" t="s">
        <v>20</v>
      </c>
      <c r="K83">
        <v>0</v>
      </c>
      <c r="L83">
        <v>6905.31</v>
      </c>
    </row>
    <row r="84" spans="1:12" x14ac:dyDescent="0.3">
      <c r="A84" t="s">
        <v>42</v>
      </c>
      <c r="B84" t="s">
        <v>21</v>
      </c>
      <c r="C84" t="s">
        <v>14</v>
      </c>
      <c r="D84">
        <v>117613</v>
      </c>
      <c r="E84">
        <v>150437</v>
      </c>
      <c r="F84">
        <v>32824</v>
      </c>
      <c r="G84">
        <v>0.27910000000000001</v>
      </c>
      <c r="H84" t="s">
        <v>15</v>
      </c>
      <c r="I84" t="s">
        <v>35</v>
      </c>
      <c r="J84" t="s">
        <v>14</v>
      </c>
      <c r="K84">
        <v>0</v>
      </c>
      <c r="L84">
        <v>39158.49</v>
      </c>
    </row>
    <row r="85" spans="1:12" x14ac:dyDescent="0.3">
      <c r="A85" t="s">
        <v>42</v>
      </c>
      <c r="B85" t="s">
        <v>25</v>
      </c>
      <c r="C85" t="s">
        <v>14</v>
      </c>
      <c r="D85">
        <v>84552</v>
      </c>
      <c r="E85">
        <v>80379</v>
      </c>
      <c r="F85">
        <v>-4173</v>
      </c>
      <c r="G85">
        <v>-4.9399999999999999E-2</v>
      </c>
      <c r="I85" t="s">
        <v>19</v>
      </c>
      <c r="J85" t="s">
        <v>34</v>
      </c>
      <c r="K85">
        <v>0</v>
      </c>
      <c r="L85">
        <v>10448.91</v>
      </c>
    </row>
    <row r="86" spans="1:12" x14ac:dyDescent="0.3">
      <c r="A86" t="s">
        <v>42</v>
      </c>
      <c r="B86" t="s">
        <v>26</v>
      </c>
      <c r="C86" t="s">
        <v>14</v>
      </c>
      <c r="D86">
        <v>26953</v>
      </c>
      <c r="E86">
        <v>39423</v>
      </c>
      <c r="F86">
        <v>12470</v>
      </c>
      <c r="G86">
        <v>0.4627</v>
      </c>
      <c r="H86" t="s">
        <v>15</v>
      </c>
      <c r="I86" t="s">
        <v>16</v>
      </c>
      <c r="J86" t="s">
        <v>20</v>
      </c>
      <c r="K86">
        <v>0</v>
      </c>
      <c r="L86">
        <v>8139.73</v>
      </c>
    </row>
    <row r="87" spans="1:12" x14ac:dyDescent="0.3">
      <c r="A87" t="s">
        <v>42</v>
      </c>
      <c r="B87" t="s">
        <v>27</v>
      </c>
      <c r="C87" t="s">
        <v>14</v>
      </c>
      <c r="D87">
        <v>144384</v>
      </c>
      <c r="E87">
        <v>174573</v>
      </c>
      <c r="F87">
        <v>30189</v>
      </c>
      <c r="G87">
        <v>0.20910000000000001</v>
      </c>
      <c r="H87" t="s">
        <v>15</v>
      </c>
      <c r="I87" t="s">
        <v>23</v>
      </c>
      <c r="J87" t="s">
        <v>34</v>
      </c>
      <c r="K87">
        <v>0</v>
      </c>
      <c r="L87">
        <v>43277.99</v>
      </c>
    </row>
    <row r="88" spans="1:12" x14ac:dyDescent="0.3">
      <c r="A88" t="s">
        <v>42</v>
      </c>
      <c r="B88" t="s">
        <v>28</v>
      </c>
      <c r="C88" t="s">
        <v>14</v>
      </c>
      <c r="D88">
        <v>30826</v>
      </c>
      <c r="E88">
        <v>21039</v>
      </c>
      <c r="F88">
        <v>-9787</v>
      </c>
      <c r="G88">
        <v>-0.3175</v>
      </c>
      <c r="H88" t="s">
        <v>22</v>
      </c>
      <c r="I88" t="s">
        <v>23</v>
      </c>
      <c r="J88" t="s">
        <v>14</v>
      </c>
      <c r="K88">
        <v>0</v>
      </c>
      <c r="L88">
        <v>5598.71</v>
      </c>
    </row>
    <row r="89" spans="1:12" x14ac:dyDescent="0.3">
      <c r="A89" t="s">
        <v>42</v>
      </c>
      <c r="B89" t="s">
        <v>29</v>
      </c>
      <c r="C89" t="s">
        <v>14</v>
      </c>
      <c r="D89">
        <v>47654</v>
      </c>
      <c r="E89">
        <v>69173</v>
      </c>
      <c r="F89">
        <v>21519</v>
      </c>
      <c r="G89">
        <v>0.4516</v>
      </c>
      <c r="H89" t="s">
        <v>15</v>
      </c>
      <c r="I89" t="s">
        <v>35</v>
      </c>
      <c r="J89" t="s">
        <v>17</v>
      </c>
      <c r="K89">
        <v>0</v>
      </c>
      <c r="L89">
        <v>26235.85</v>
      </c>
    </row>
    <row r="90" spans="1:12" x14ac:dyDescent="0.3">
      <c r="A90" t="s">
        <v>42</v>
      </c>
      <c r="B90" t="s">
        <v>31</v>
      </c>
      <c r="C90" t="s">
        <v>14</v>
      </c>
      <c r="D90">
        <v>146652</v>
      </c>
      <c r="E90">
        <v>219440</v>
      </c>
      <c r="F90">
        <v>72788</v>
      </c>
      <c r="G90">
        <v>0.49630000000000002</v>
      </c>
      <c r="H90" t="s">
        <v>15</v>
      </c>
      <c r="I90" t="s">
        <v>30</v>
      </c>
      <c r="J90" t="s">
        <v>17</v>
      </c>
      <c r="K90">
        <v>0</v>
      </c>
      <c r="L90">
        <v>70464.52</v>
      </c>
    </row>
    <row r="91" spans="1:12" x14ac:dyDescent="0.3">
      <c r="A91" t="s">
        <v>42</v>
      </c>
      <c r="B91" t="s">
        <v>32</v>
      </c>
      <c r="C91" t="s">
        <v>14</v>
      </c>
      <c r="D91">
        <v>90969</v>
      </c>
      <c r="E91">
        <v>112369</v>
      </c>
      <c r="F91">
        <v>21400</v>
      </c>
      <c r="G91">
        <v>0.23519999999999999</v>
      </c>
      <c r="H91" t="s">
        <v>15</v>
      </c>
      <c r="I91" t="s">
        <v>23</v>
      </c>
      <c r="J91" t="s">
        <v>14</v>
      </c>
      <c r="K91">
        <v>0</v>
      </c>
      <c r="L91">
        <v>36907.96</v>
      </c>
    </row>
    <row r="92" spans="1:12" x14ac:dyDescent="0.3">
      <c r="A92" t="s">
        <v>43</v>
      </c>
      <c r="B92" t="s">
        <v>13</v>
      </c>
      <c r="C92" t="s">
        <v>14</v>
      </c>
      <c r="D92">
        <v>100368</v>
      </c>
      <c r="E92">
        <v>69355</v>
      </c>
      <c r="F92">
        <v>-31013</v>
      </c>
      <c r="G92">
        <v>-0.309</v>
      </c>
      <c r="H92" t="s">
        <v>22</v>
      </c>
      <c r="I92" t="s">
        <v>19</v>
      </c>
      <c r="J92" t="s">
        <v>24</v>
      </c>
      <c r="K92">
        <v>8</v>
      </c>
      <c r="L92">
        <v>24035.53</v>
      </c>
    </row>
    <row r="93" spans="1:12" x14ac:dyDescent="0.3">
      <c r="A93" t="s">
        <v>43</v>
      </c>
      <c r="B93" t="s">
        <v>18</v>
      </c>
      <c r="C93" t="s">
        <v>14</v>
      </c>
      <c r="D93">
        <v>111811</v>
      </c>
      <c r="E93">
        <v>75272</v>
      </c>
      <c r="F93">
        <v>-36539</v>
      </c>
      <c r="G93">
        <v>-0.32679999999999998</v>
      </c>
      <c r="H93" t="s">
        <v>22</v>
      </c>
      <c r="I93" t="s">
        <v>19</v>
      </c>
      <c r="J93" t="s">
        <v>34</v>
      </c>
      <c r="K93">
        <v>0</v>
      </c>
      <c r="L93">
        <v>20654.009999999998</v>
      </c>
    </row>
    <row r="94" spans="1:12" x14ac:dyDescent="0.3">
      <c r="A94" t="s">
        <v>43</v>
      </c>
      <c r="B94" t="s">
        <v>21</v>
      </c>
      <c r="C94" t="s">
        <v>14</v>
      </c>
      <c r="D94">
        <v>132208</v>
      </c>
      <c r="E94">
        <v>184076</v>
      </c>
      <c r="F94">
        <v>51868</v>
      </c>
      <c r="G94">
        <v>0.39229999999999998</v>
      </c>
      <c r="H94" t="s">
        <v>15</v>
      </c>
      <c r="I94" t="s">
        <v>35</v>
      </c>
      <c r="J94" t="s">
        <v>14</v>
      </c>
      <c r="K94">
        <v>0</v>
      </c>
      <c r="L94">
        <v>51093.35</v>
      </c>
    </row>
    <row r="95" spans="1:12" x14ac:dyDescent="0.3">
      <c r="A95" t="s">
        <v>43</v>
      </c>
      <c r="B95" t="s">
        <v>25</v>
      </c>
      <c r="C95" t="s">
        <v>14</v>
      </c>
      <c r="D95">
        <v>65528</v>
      </c>
      <c r="E95">
        <v>81081</v>
      </c>
      <c r="F95">
        <v>15553</v>
      </c>
      <c r="G95">
        <v>0.23730000000000001</v>
      </c>
      <c r="H95" t="s">
        <v>15</v>
      </c>
      <c r="I95" t="s">
        <v>16</v>
      </c>
      <c r="J95" t="s">
        <v>17</v>
      </c>
      <c r="K95">
        <v>0</v>
      </c>
      <c r="L95">
        <v>17302.38</v>
      </c>
    </row>
    <row r="96" spans="1:12" x14ac:dyDescent="0.3">
      <c r="A96" t="s">
        <v>43</v>
      </c>
      <c r="B96" t="s">
        <v>26</v>
      </c>
      <c r="C96" t="s">
        <v>14</v>
      </c>
      <c r="D96">
        <v>111660</v>
      </c>
      <c r="E96">
        <v>91991</v>
      </c>
      <c r="F96">
        <v>-19669</v>
      </c>
      <c r="G96">
        <v>-0.1762</v>
      </c>
      <c r="I96" t="s">
        <v>16</v>
      </c>
      <c r="J96" t="s">
        <v>34</v>
      </c>
      <c r="K96">
        <v>0</v>
      </c>
      <c r="L96">
        <v>16200.04</v>
      </c>
    </row>
    <row r="97" spans="1:12" x14ac:dyDescent="0.3">
      <c r="A97" t="s">
        <v>43</v>
      </c>
      <c r="B97" t="s">
        <v>27</v>
      </c>
      <c r="C97" t="s">
        <v>14</v>
      </c>
      <c r="D97">
        <v>72676</v>
      </c>
      <c r="E97">
        <v>80984</v>
      </c>
      <c r="F97">
        <v>8308</v>
      </c>
      <c r="G97">
        <v>0.1143</v>
      </c>
      <c r="I97" t="s">
        <v>23</v>
      </c>
      <c r="J97" t="s">
        <v>20</v>
      </c>
      <c r="K97">
        <v>0</v>
      </c>
      <c r="L97">
        <v>26737.55</v>
      </c>
    </row>
    <row r="98" spans="1:12" x14ac:dyDescent="0.3">
      <c r="A98" t="s">
        <v>43</v>
      </c>
      <c r="B98" t="s">
        <v>28</v>
      </c>
      <c r="C98" t="s">
        <v>14</v>
      </c>
      <c r="D98">
        <v>126962</v>
      </c>
      <c r="E98">
        <v>161215</v>
      </c>
      <c r="F98">
        <v>34253</v>
      </c>
      <c r="G98">
        <v>0.26979999999999998</v>
      </c>
      <c r="H98" t="s">
        <v>15</v>
      </c>
      <c r="I98" t="s">
        <v>16</v>
      </c>
      <c r="J98" t="s">
        <v>17</v>
      </c>
      <c r="K98">
        <v>0</v>
      </c>
      <c r="L98">
        <v>27608.38</v>
      </c>
    </row>
    <row r="99" spans="1:12" x14ac:dyDescent="0.3">
      <c r="A99" t="s">
        <v>43</v>
      </c>
      <c r="B99" t="s">
        <v>29</v>
      </c>
      <c r="C99" t="s">
        <v>14</v>
      </c>
      <c r="D99">
        <v>72028</v>
      </c>
      <c r="E99">
        <v>74184</v>
      </c>
      <c r="F99">
        <v>2156</v>
      </c>
      <c r="G99">
        <v>2.9899999999999999E-2</v>
      </c>
      <c r="I99" t="s">
        <v>35</v>
      </c>
      <c r="J99" t="s">
        <v>14</v>
      </c>
      <c r="K99">
        <v>0</v>
      </c>
      <c r="L99">
        <v>12394.57</v>
      </c>
    </row>
    <row r="100" spans="1:12" x14ac:dyDescent="0.3">
      <c r="A100" t="s">
        <v>43</v>
      </c>
      <c r="B100" t="s">
        <v>31</v>
      </c>
      <c r="C100" t="s">
        <v>14</v>
      </c>
      <c r="D100">
        <v>145218</v>
      </c>
      <c r="E100">
        <v>88719</v>
      </c>
      <c r="F100">
        <v>-56499</v>
      </c>
      <c r="G100">
        <v>-0.3891</v>
      </c>
      <c r="H100" t="s">
        <v>22</v>
      </c>
      <c r="I100" t="s">
        <v>19</v>
      </c>
      <c r="J100" t="s">
        <v>17</v>
      </c>
      <c r="K100">
        <v>0</v>
      </c>
      <c r="L100">
        <v>17460.419999999998</v>
      </c>
    </row>
    <row r="101" spans="1:12" x14ac:dyDescent="0.3">
      <c r="A101" t="s">
        <v>43</v>
      </c>
      <c r="B101" t="s">
        <v>32</v>
      </c>
      <c r="C101" t="s">
        <v>14</v>
      </c>
      <c r="D101">
        <v>25642</v>
      </c>
      <c r="E101">
        <v>36723</v>
      </c>
      <c r="F101">
        <v>11081</v>
      </c>
      <c r="G101">
        <v>0.43209999999999998</v>
      </c>
      <c r="H101" t="s">
        <v>15</v>
      </c>
      <c r="I101" t="s">
        <v>23</v>
      </c>
      <c r="J101" t="s">
        <v>17</v>
      </c>
      <c r="K101">
        <v>0</v>
      </c>
      <c r="L101">
        <v>6459.47</v>
      </c>
    </row>
    <row r="102" spans="1:12" x14ac:dyDescent="0.3">
      <c r="A102" t="s">
        <v>44</v>
      </c>
      <c r="B102" t="s">
        <v>13</v>
      </c>
      <c r="C102" t="s">
        <v>14</v>
      </c>
      <c r="D102">
        <v>110403</v>
      </c>
      <c r="E102">
        <v>73737</v>
      </c>
      <c r="F102">
        <v>-36666</v>
      </c>
      <c r="G102">
        <v>-0.33210000000000001</v>
      </c>
      <c r="H102" t="s">
        <v>22</v>
      </c>
      <c r="I102" t="s">
        <v>35</v>
      </c>
      <c r="J102" t="s">
        <v>14</v>
      </c>
      <c r="K102">
        <v>13</v>
      </c>
      <c r="L102">
        <v>13888.23</v>
      </c>
    </row>
    <row r="103" spans="1:12" x14ac:dyDescent="0.3">
      <c r="A103" t="s">
        <v>44</v>
      </c>
      <c r="B103" t="s">
        <v>18</v>
      </c>
      <c r="C103" t="s">
        <v>14</v>
      </c>
      <c r="D103">
        <v>149458</v>
      </c>
      <c r="E103">
        <v>183419</v>
      </c>
      <c r="F103">
        <v>33961</v>
      </c>
      <c r="G103">
        <v>0.22720000000000001</v>
      </c>
      <c r="H103" t="s">
        <v>15</v>
      </c>
      <c r="I103" t="s">
        <v>16</v>
      </c>
      <c r="J103" t="s">
        <v>14</v>
      </c>
      <c r="K103">
        <v>0</v>
      </c>
      <c r="L103">
        <v>68704.41</v>
      </c>
    </row>
    <row r="104" spans="1:12" x14ac:dyDescent="0.3">
      <c r="A104" t="s">
        <v>44</v>
      </c>
      <c r="B104" t="s">
        <v>21</v>
      </c>
      <c r="C104" t="s">
        <v>14</v>
      </c>
      <c r="D104">
        <v>144631</v>
      </c>
      <c r="E104">
        <v>94310</v>
      </c>
      <c r="F104">
        <v>-50321</v>
      </c>
      <c r="G104">
        <v>-0.34789999999999999</v>
      </c>
      <c r="H104" t="s">
        <v>22</v>
      </c>
      <c r="I104" t="s">
        <v>23</v>
      </c>
      <c r="J104" t="s">
        <v>20</v>
      </c>
      <c r="K104">
        <v>0</v>
      </c>
      <c r="L104">
        <v>18927.830000000002</v>
      </c>
    </row>
    <row r="105" spans="1:12" x14ac:dyDescent="0.3">
      <c r="A105" t="s">
        <v>44</v>
      </c>
      <c r="B105" t="s">
        <v>25</v>
      </c>
      <c r="C105" t="s">
        <v>14</v>
      </c>
      <c r="D105">
        <v>42058</v>
      </c>
      <c r="E105">
        <v>49719</v>
      </c>
      <c r="F105">
        <v>7661</v>
      </c>
      <c r="G105">
        <v>0.1822</v>
      </c>
      <c r="I105" t="s">
        <v>30</v>
      </c>
      <c r="J105" t="s">
        <v>20</v>
      </c>
      <c r="K105">
        <v>0</v>
      </c>
      <c r="L105">
        <v>13677.54</v>
      </c>
    </row>
    <row r="106" spans="1:12" x14ac:dyDescent="0.3">
      <c r="A106" t="s">
        <v>44</v>
      </c>
      <c r="B106" t="s">
        <v>26</v>
      </c>
      <c r="C106" t="s">
        <v>14</v>
      </c>
      <c r="D106">
        <v>30105</v>
      </c>
      <c r="E106">
        <v>44463</v>
      </c>
      <c r="F106">
        <v>14358</v>
      </c>
      <c r="G106">
        <v>0.47689999999999999</v>
      </c>
      <c r="H106" t="s">
        <v>15</v>
      </c>
      <c r="I106" t="s">
        <v>16</v>
      </c>
      <c r="J106" t="s">
        <v>14</v>
      </c>
      <c r="K106">
        <v>0</v>
      </c>
      <c r="L106">
        <v>8178.04</v>
      </c>
    </row>
    <row r="107" spans="1:12" x14ac:dyDescent="0.3">
      <c r="A107" t="s">
        <v>44</v>
      </c>
      <c r="B107" t="s">
        <v>27</v>
      </c>
      <c r="C107" t="s">
        <v>14</v>
      </c>
      <c r="D107">
        <v>73456</v>
      </c>
      <c r="E107">
        <v>83923</v>
      </c>
      <c r="F107">
        <v>10467</v>
      </c>
      <c r="G107">
        <v>0.14249999999999999</v>
      </c>
      <c r="I107" t="s">
        <v>19</v>
      </c>
      <c r="J107" t="s">
        <v>17</v>
      </c>
      <c r="K107">
        <v>0</v>
      </c>
      <c r="L107">
        <v>31326.62</v>
      </c>
    </row>
    <row r="108" spans="1:12" x14ac:dyDescent="0.3">
      <c r="A108" t="s">
        <v>44</v>
      </c>
      <c r="B108" t="s">
        <v>28</v>
      </c>
      <c r="C108" t="s">
        <v>14</v>
      </c>
      <c r="D108">
        <v>126929</v>
      </c>
      <c r="E108">
        <v>184658</v>
      </c>
      <c r="F108">
        <v>57729</v>
      </c>
      <c r="G108">
        <v>0.45479999999999998</v>
      </c>
      <c r="H108" t="s">
        <v>15</v>
      </c>
      <c r="I108" t="s">
        <v>19</v>
      </c>
      <c r="J108" t="s">
        <v>14</v>
      </c>
      <c r="K108">
        <v>0</v>
      </c>
      <c r="L108">
        <v>41635.379999999997</v>
      </c>
    </row>
    <row r="109" spans="1:12" x14ac:dyDescent="0.3">
      <c r="A109" t="s">
        <v>44</v>
      </c>
      <c r="B109" t="s">
        <v>29</v>
      </c>
      <c r="C109" t="s">
        <v>14</v>
      </c>
      <c r="D109">
        <v>141254</v>
      </c>
      <c r="E109">
        <v>194853</v>
      </c>
      <c r="F109">
        <v>53599</v>
      </c>
      <c r="G109">
        <v>0.3795</v>
      </c>
      <c r="H109" t="s">
        <v>15</v>
      </c>
      <c r="I109" t="s">
        <v>19</v>
      </c>
      <c r="J109" t="s">
        <v>17</v>
      </c>
      <c r="K109">
        <v>0</v>
      </c>
      <c r="L109">
        <v>21026.61</v>
      </c>
    </row>
    <row r="110" spans="1:12" x14ac:dyDescent="0.3">
      <c r="A110" t="s">
        <v>44</v>
      </c>
      <c r="B110" t="s">
        <v>31</v>
      </c>
      <c r="C110" t="s">
        <v>14</v>
      </c>
      <c r="D110">
        <v>68940</v>
      </c>
      <c r="E110">
        <v>91655</v>
      </c>
      <c r="F110">
        <v>22715</v>
      </c>
      <c r="G110">
        <v>0.32950000000000002</v>
      </c>
      <c r="H110" t="s">
        <v>15</v>
      </c>
      <c r="I110" t="s">
        <v>35</v>
      </c>
      <c r="J110" t="s">
        <v>34</v>
      </c>
      <c r="K110">
        <v>0</v>
      </c>
      <c r="L110">
        <v>25502.02</v>
      </c>
    </row>
    <row r="111" spans="1:12" x14ac:dyDescent="0.3">
      <c r="A111" t="s">
        <v>44</v>
      </c>
      <c r="B111" t="s">
        <v>32</v>
      </c>
      <c r="C111" t="s">
        <v>14</v>
      </c>
      <c r="D111">
        <v>69515</v>
      </c>
      <c r="E111">
        <v>102390</v>
      </c>
      <c r="F111">
        <v>32875</v>
      </c>
      <c r="G111">
        <v>0.47289999999999999</v>
      </c>
      <c r="H111" t="s">
        <v>15</v>
      </c>
      <c r="I111" t="s">
        <v>16</v>
      </c>
      <c r="J111" t="s">
        <v>14</v>
      </c>
      <c r="K111">
        <v>0</v>
      </c>
      <c r="L111">
        <v>35989.94</v>
      </c>
    </row>
    <row r="112" spans="1:12" x14ac:dyDescent="0.3">
      <c r="A112" t="s">
        <v>45</v>
      </c>
      <c r="B112" t="s">
        <v>13</v>
      </c>
      <c r="C112" t="s">
        <v>14</v>
      </c>
      <c r="D112">
        <v>80930</v>
      </c>
      <c r="E112">
        <v>78772</v>
      </c>
      <c r="F112">
        <v>-2158</v>
      </c>
      <c r="G112">
        <v>-2.6700000000000002E-2</v>
      </c>
      <c r="I112" t="s">
        <v>35</v>
      </c>
      <c r="J112" t="s">
        <v>17</v>
      </c>
      <c r="K112">
        <v>15</v>
      </c>
      <c r="L112">
        <v>9658.06</v>
      </c>
    </row>
    <row r="113" spans="1:12" x14ac:dyDescent="0.3">
      <c r="A113" t="s">
        <v>45</v>
      </c>
      <c r="B113" t="s">
        <v>18</v>
      </c>
      <c r="C113" t="s">
        <v>14</v>
      </c>
      <c r="D113">
        <v>109922</v>
      </c>
      <c r="E113">
        <v>118815</v>
      </c>
      <c r="F113">
        <v>8893</v>
      </c>
      <c r="G113">
        <v>8.09E-2</v>
      </c>
      <c r="I113" t="s">
        <v>19</v>
      </c>
      <c r="J113" t="s">
        <v>34</v>
      </c>
      <c r="K113">
        <v>0</v>
      </c>
      <c r="L113">
        <v>31679.59</v>
      </c>
    </row>
    <row r="114" spans="1:12" x14ac:dyDescent="0.3">
      <c r="A114" t="s">
        <v>45</v>
      </c>
      <c r="B114" t="s">
        <v>21</v>
      </c>
      <c r="C114" t="s">
        <v>14</v>
      </c>
      <c r="D114">
        <v>119968</v>
      </c>
      <c r="E114">
        <v>173988</v>
      </c>
      <c r="F114">
        <v>54020</v>
      </c>
      <c r="G114">
        <v>0.45029999999999998</v>
      </c>
      <c r="H114" t="s">
        <v>15</v>
      </c>
      <c r="I114" t="s">
        <v>30</v>
      </c>
      <c r="J114" t="s">
        <v>34</v>
      </c>
      <c r="K114">
        <v>0</v>
      </c>
      <c r="L114">
        <v>30309.48</v>
      </c>
    </row>
    <row r="115" spans="1:12" x14ac:dyDescent="0.3">
      <c r="A115" t="s">
        <v>45</v>
      </c>
      <c r="B115" t="s">
        <v>25</v>
      </c>
      <c r="C115" t="s">
        <v>14</v>
      </c>
      <c r="D115">
        <v>78570</v>
      </c>
      <c r="E115">
        <v>56275</v>
      </c>
      <c r="F115">
        <v>-22295</v>
      </c>
      <c r="G115">
        <v>-0.2838</v>
      </c>
      <c r="H115" t="s">
        <v>22</v>
      </c>
      <c r="I115" t="s">
        <v>16</v>
      </c>
      <c r="J115" t="s">
        <v>17</v>
      </c>
      <c r="K115">
        <v>0</v>
      </c>
      <c r="L115">
        <v>15861.24</v>
      </c>
    </row>
    <row r="116" spans="1:12" x14ac:dyDescent="0.3">
      <c r="A116" t="s">
        <v>45</v>
      </c>
      <c r="B116" t="s">
        <v>26</v>
      </c>
      <c r="C116" t="s">
        <v>14</v>
      </c>
      <c r="D116">
        <v>49723</v>
      </c>
      <c r="E116">
        <v>59892</v>
      </c>
      <c r="F116">
        <v>10169</v>
      </c>
      <c r="G116">
        <v>0.20449999999999999</v>
      </c>
      <c r="H116" t="s">
        <v>15</v>
      </c>
      <c r="I116" t="s">
        <v>30</v>
      </c>
      <c r="J116" t="s">
        <v>20</v>
      </c>
      <c r="K116">
        <v>0</v>
      </c>
      <c r="L116">
        <v>10816.6</v>
      </c>
    </row>
    <row r="117" spans="1:12" x14ac:dyDescent="0.3">
      <c r="A117" t="s">
        <v>45</v>
      </c>
      <c r="B117" t="s">
        <v>27</v>
      </c>
      <c r="C117" t="s">
        <v>14</v>
      </c>
      <c r="D117">
        <v>22884</v>
      </c>
      <c r="E117">
        <v>23990</v>
      </c>
      <c r="F117">
        <v>1106</v>
      </c>
      <c r="G117">
        <v>4.8300000000000003E-2</v>
      </c>
      <c r="I117" t="s">
        <v>16</v>
      </c>
      <c r="J117" t="s">
        <v>34</v>
      </c>
      <c r="K117">
        <v>0</v>
      </c>
      <c r="L117">
        <v>4614.07</v>
      </c>
    </row>
    <row r="118" spans="1:12" x14ac:dyDescent="0.3">
      <c r="A118" t="s">
        <v>45</v>
      </c>
      <c r="B118" t="s">
        <v>28</v>
      </c>
      <c r="C118" t="s">
        <v>14</v>
      </c>
      <c r="D118">
        <v>126130</v>
      </c>
      <c r="E118">
        <v>185559</v>
      </c>
      <c r="F118">
        <v>59429</v>
      </c>
      <c r="G118">
        <v>0.47120000000000001</v>
      </c>
      <c r="H118" t="s">
        <v>15</v>
      </c>
      <c r="I118" t="s">
        <v>16</v>
      </c>
      <c r="J118" t="s">
        <v>14</v>
      </c>
      <c r="K118">
        <v>0</v>
      </c>
      <c r="L118">
        <v>51397.39</v>
      </c>
    </row>
    <row r="119" spans="1:12" x14ac:dyDescent="0.3">
      <c r="A119" t="s">
        <v>45</v>
      </c>
      <c r="B119" t="s">
        <v>29</v>
      </c>
      <c r="C119" t="s">
        <v>14</v>
      </c>
      <c r="D119">
        <v>82405</v>
      </c>
      <c r="E119">
        <v>80631</v>
      </c>
      <c r="F119">
        <v>-1774</v>
      </c>
      <c r="G119">
        <v>-2.1499999999999998E-2</v>
      </c>
      <c r="I119" t="s">
        <v>19</v>
      </c>
      <c r="J119" t="s">
        <v>17</v>
      </c>
      <c r="K119">
        <v>0</v>
      </c>
      <c r="L119">
        <v>23528.799999999999</v>
      </c>
    </row>
    <row r="120" spans="1:12" x14ac:dyDescent="0.3">
      <c r="A120" t="s">
        <v>45</v>
      </c>
      <c r="B120" t="s">
        <v>31</v>
      </c>
      <c r="C120" t="s">
        <v>14</v>
      </c>
      <c r="D120">
        <v>124655</v>
      </c>
      <c r="E120">
        <v>176117</v>
      </c>
      <c r="F120">
        <v>51462</v>
      </c>
      <c r="G120">
        <v>0.4128</v>
      </c>
      <c r="H120" t="s">
        <v>15</v>
      </c>
      <c r="I120" t="s">
        <v>23</v>
      </c>
      <c r="J120" t="s">
        <v>24</v>
      </c>
      <c r="K120">
        <v>0</v>
      </c>
      <c r="L120">
        <v>36135.03</v>
      </c>
    </row>
    <row r="121" spans="1:12" x14ac:dyDescent="0.3">
      <c r="A121" t="s">
        <v>45</v>
      </c>
      <c r="B121" t="s">
        <v>32</v>
      </c>
      <c r="C121" t="s">
        <v>14</v>
      </c>
      <c r="D121">
        <v>96689</v>
      </c>
      <c r="E121">
        <v>92146</v>
      </c>
      <c r="F121">
        <v>-4543</v>
      </c>
      <c r="G121">
        <v>-4.7E-2</v>
      </c>
      <c r="I121" t="s">
        <v>16</v>
      </c>
      <c r="J121" t="s">
        <v>34</v>
      </c>
      <c r="K121">
        <v>0</v>
      </c>
      <c r="L121">
        <v>34208.980000000003</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L11"/>
  <sheetViews>
    <sheetView workbookViewId="0">
      <selection activeCell="L2" sqref="L2"/>
    </sheetView>
  </sheetViews>
  <sheetFormatPr defaultRowHeight="14.4" x14ac:dyDescent="0.3"/>
  <cols>
    <col min="1" max="1" width="12.6640625" customWidth="1"/>
    <col min="2" max="2" width="15.88671875" customWidth="1"/>
    <col min="6" max="6" width="11.109375" customWidth="1"/>
    <col min="7" max="7" width="12.21875" customWidth="1"/>
    <col min="9" max="9" width="10.6640625" customWidth="1"/>
    <col min="10" max="10" width="16.777343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13</v>
      </c>
      <c r="C2" t="s">
        <v>14</v>
      </c>
      <c r="D2">
        <v>68690</v>
      </c>
      <c r="E2">
        <v>99988</v>
      </c>
      <c r="F2">
        <v>31298</v>
      </c>
      <c r="G2">
        <v>0.4556</v>
      </c>
      <c r="H2" t="s">
        <v>15</v>
      </c>
      <c r="I2" t="s">
        <v>16</v>
      </c>
      <c r="J2" t="s">
        <v>17</v>
      </c>
      <c r="K2">
        <v>6</v>
      </c>
      <c r="L2">
        <v>23372.18</v>
      </c>
    </row>
    <row r="3" spans="1:12" x14ac:dyDescent="0.3">
      <c r="A3" t="s">
        <v>12</v>
      </c>
      <c r="B3" t="s">
        <v>18</v>
      </c>
      <c r="C3" t="s">
        <v>14</v>
      </c>
      <c r="D3">
        <v>32996</v>
      </c>
      <c r="E3">
        <v>33435</v>
      </c>
      <c r="F3">
        <v>439</v>
      </c>
      <c r="G3">
        <v>1.3299999999999999E-2</v>
      </c>
      <c r="I3" t="s">
        <v>19</v>
      </c>
      <c r="J3" t="s">
        <v>20</v>
      </c>
      <c r="K3">
        <v>0</v>
      </c>
      <c r="L3">
        <v>4776.53</v>
      </c>
    </row>
    <row r="4" spans="1:12" x14ac:dyDescent="0.3">
      <c r="A4" t="s">
        <v>12</v>
      </c>
      <c r="B4" t="s">
        <v>21</v>
      </c>
      <c r="C4" t="s">
        <v>14</v>
      </c>
      <c r="D4">
        <v>104615</v>
      </c>
      <c r="E4">
        <v>68080</v>
      </c>
      <c r="F4">
        <v>-36535</v>
      </c>
      <c r="G4">
        <v>-0.34920000000000001</v>
      </c>
      <c r="H4" t="s">
        <v>22</v>
      </c>
      <c r="I4" t="s">
        <v>23</v>
      </c>
      <c r="J4" t="s">
        <v>24</v>
      </c>
      <c r="K4">
        <v>0</v>
      </c>
      <c r="L4">
        <v>10521.59</v>
      </c>
    </row>
    <row r="5" spans="1:12" x14ac:dyDescent="0.3">
      <c r="A5" t="s">
        <v>12</v>
      </c>
      <c r="B5" t="s">
        <v>25</v>
      </c>
      <c r="C5" t="s">
        <v>14</v>
      </c>
      <c r="D5">
        <v>43842</v>
      </c>
      <c r="E5">
        <v>38309</v>
      </c>
      <c r="F5">
        <v>-5533</v>
      </c>
      <c r="G5">
        <v>-0.12620000000000001</v>
      </c>
      <c r="I5" t="s">
        <v>19</v>
      </c>
      <c r="J5" t="s">
        <v>20</v>
      </c>
      <c r="K5">
        <v>0</v>
      </c>
      <c r="L5">
        <v>4095.95</v>
      </c>
    </row>
    <row r="6" spans="1:12" x14ac:dyDescent="0.3">
      <c r="A6" t="s">
        <v>12</v>
      </c>
      <c r="B6" t="s">
        <v>26</v>
      </c>
      <c r="C6" t="s">
        <v>14</v>
      </c>
      <c r="D6">
        <v>88220</v>
      </c>
      <c r="E6">
        <v>84680</v>
      </c>
      <c r="F6">
        <v>-3540</v>
      </c>
      <c r="G6">
        <v>-4.0099999999999997E-2</v>
      </c>
      <c r="I6" t="s">
        <v>23</v>
      </c>
      <c r="J6" t="s">
        <v>20</v>
      </c>
      <c r="K6">
        <v>0</v>
      </c>
      <c r="L6">
        <v>17775.060000000001</v>
      </c>
    </row>
    <row r="7" spans="1:12" x14ac:dyDescent="0.3">
      <c r="A7" t="s">
        <v>12</v>
      </c>
      <c r="B7" t="s">
        <v>27</v>
      </c>
      <c r="C7" t="s">
        <v>14</v>
      </c>
      <c r="D7">
        <v>79289</v>
      </c>
      <c r="E7">
        <v>103603</v>
      </c>
      <c r="F7">
        <v>24314</v>
      </c>
      <c r="G7">
        <v>0.30669999999999997</v>
      </c>
      <c r="H7" t="s">
        <v>15</v>
      </c>
      <c r="I7" t="s">
        <v>16</v>
      </c>
      <c r="J7" t="s">
        <v>20</v>
      </c>
      <c r="K7">
        <v>0</v>
      </c>
      <c r="L7">
        <v>26343.17</v>
      </c>
    </row>
    <row r="8" spans="1:12" x14ac:dyDescent="0.3">
      <c r="A8" t="s">
        <v>12</v>
      </c>
      <c r="B8" t="s">
        <v>28</v>
      </c>
      <c r="C8" t="s">
        <v>14</v>
      </c>
      <c r="D8">
        <v>97013</v>
      </c>
      <c r="E8">
        <v>62263</v>
      </c>
      <c r="F8">
        <v>-34750</v>
      </c>
      <c r="G8">
        <v>-0.35820000000000002</v>
      </c>
      <c r="H8" t="s">
        <v>22</v>
      </c>
      <c r="I8" t="s">
        <v>16</v>
      </c>
      <c r="J8" t="s">
        <v>17</v>
      </c>
      <c r="K8">
        <v>0</v>
      </c>
      <c r="L8">
        <v>14641.13</v>
      </c>
    </row>
    <row r="9" spans="1:12" x14ac:dyDescent="0.3">
      <c r="A9" t="s">
        <v>12</v>
      </c>
      <c r="B9" t="s">
        <v>29</v>
      </c>
      <c r="C9" t="s">
        <v>14</v>
      </c>
      <c r="D9">
        <v>21724</v>
      </c>
      <c r="E9">
        <v>31455</v>
      </c>
      <c r="F9">
        <v>9731</v>
      </c>
      <c r="G9">
        <v>0.44790000000000002</v>
      </c>
      <c r="H9" t="s">
        <v>15</v>
      </c>
      <c r="I9" t="s">
        <v>30</v>
      </c>
      <c r="J9" t="s">
        <v>24</v>
      </c>
      <c r="K9">
        <v>0</v>
      </c>
      <c r="L9">
        <v>6019.99</v>
      </c>
    </row>
    <row r="10" spans="1:12" x14ac:dyDescent="0.3">
      <c r="A10" t="s">
        <v>12</v>
      </c>
      <c r="B10" t="s">
        <v>31</v>
      </c>
      <c r="C10" t="s">
        <v>14</v>
      </c>
      <c r="D10">
        <v>32697</v>
      </c>
      <c r="E10">
        <v>39753</v>
      </c>
      <c r="F10">
        <v>7056</v>
      </c>
      <c r="G10">
        <v>0.21579999999999999</v>
      </c>
      <c r="H10" t="s">
        <v>15</v>
      </c>
      <c r="I10" t="s">
        <v>23</v>
      </c>
      <c r="J10" t="s">
        <v>20</v>
      </c>
      <c r="K10">
        <v>0</v>
      </c>
      <c r="L10">
        <v>9880.73</v>
      </c>
    </row>
    <row r="11" spans="1:12" x14ac:dyDescent="0.3">
      <c r="A11" t="s">
        <v>12</v>
      </c>
      <c r="B11" t="s">
        <v>32</v>
      </c>
      <c r="C11" t="s">
        <v>14</v>
      </c>
      <c r="D11">
        <v>24470</v>
      </c>
      <c r="E11">
        <v>34707</v>
      </c>
      <c r="F11">
        <v>10237</v>
      </c>
      <c r="G11">
        <v>0.41830000000000001</v>
      </c>
      <c r="H11" t="s">
        <v>15</v>
      </c>
      <c r="I11" t="s">
        <v>23</v>
      </c>
      <c r="J11" t="s">
        <v>24</v>
      </c>
      <c r="K11">
        <v>0</v>
      </c>
      <c r="L11">
        <v>10368.950000000001</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L11"/>
  <sheetViews>
    <sheetView workbookViewId="0">
      <selection activeCell="F21" sqref="F21"/>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33</v>
      </c>
      <c r="B2" t="s">
        <v>13</v>
      </c>
      <c r="C2" t="s">
        <v>14</v>
      </c>
      <c r="D2">
        <v>60522</v>
      </c>
      <c r="E2">
        <v>64641</v>
      </c>
      <c r="F2">
        <v>4119</v>
      </c>
      <c r="G2">
        <v>6.8099999999999994E-2</v>
      </c>
      <c r="I2" t="s">
        <v>30</v>
      </c>
      <c r="J2" t="s">
        <v>20</v>
      </c>
      <c r="K2">
        <v>17</v>
      </c>
      <c r="L2">
        <v>21495.71</v>
      </c>
    </row>
    <row r="3" spans="1:12" x14ac:dyDescent="0.3">
      <c r="A3" t="s">
        <v>33</v>
      </c>
      <c r="B3" t="s">
        <v>18</v>
      </c>
      <c r="C3" t="s">
        <v>14</v>
      </c>
      <c r="D3">
        <v>142134</v>
      </c>
      <c r="E3">
        <v>199747</v>
      </c>
      <c r="F3">
        <v>57613</v>
      </c>
      <c r="G3">
        <v>0.40529999999999999</v>
      </c>
      <c r="H3" t="s">
        <v>15</v>
      </c>
      <c r="I3" t="s">
        <v>23</v>
      </c>
      <c r="J3" t="s">
        <v>14</v>
      </c>
      <c r="K3">
        <v>0</v>
      </c>
      <c r="L3">
        <v>77572.070000000007</v>
      </c>
    </row>
    <row r="4" spans="1:12" x14ac:dyDescent="0.3">
      <c r="A4" t="s">
        <v>33</v>
      </c>
      <c r="B4" t="s">
        <v>21</v>
      </c>
      <c r="C4" t="s">
        <v>14</v>
      </c>
      <c r="D4">
        <v>129789</v>
      </c>
      <c r="E4">
        <v>165167</v>
      </c>
      <c r="F4">
        <v>35378</v>
      </c>
      <c r="G4">
        <v>0.27260000000000001</v>
      </c>
      <c r="H4" t="s">
        <v>15</v>
      </c>
      <c r="I4" t="s">
        <v>19</v>
      </c>
      <c r="J4" t="s">
        <v>24</v>
      </c>
      <c r="K4">
        <v>0</v>
      </c>
      <c r="L4">
        <v>64345.2</v>
      </c>
    </row>
    <row r="5" spans="1:12" x14ac:dyDescent="0.3">
      <c r="A5" t="s">
        <v>33</v>
      </c>
      <c r="B5" t="s">
        <v>25</v>
      </c>
      <c r="C5" t="s">
        <v>14</v>
      </c>
      <c r="D5">
        <v>98914</v>
      </c>
      <c r="E5">
        <v>83918</v>
      </c>
      <c r="F5">
        <v>-14996</v>
      </c>
      <c r="G5">
        <v>-0.15160000000000001</v>
      </c>
      <c r="I5" t="s">
        <v>19</v>
      </c>
      <c r="J5" t="s">
        <v>17</v>
      </c>
      <c r="K5">
        <v>0</v>
      </c>
      <c r="L5">
        <v>10268.64</v>
      </c>
    </row>
    <row r="6" spans="1:12" x14ac:dyDescent="0.3">
      <c r="A6" t="s">
        <v>33</v>
      </c>
      <c r="B6" t="s">
        <v>26</v>
      </c>
      <c r="C6" t="s">
        <v>14</v>
      </c>
      <c r="D6">
        <v>148295</v>
      </c>
      <c r="E6">
        <v>192045</v>
      </c>
      <c r="F6">
        <v>43750</v>
      </c>
      <c r="G6">
        <v>0.29499999999999998</v>
      </c>
      <c r="H6" t="s">
        <v>15</v>
      </c>
      <c r="I6" t="s">
        <v>23</v>
      </c>
      <c r="J6" t="s">
        <v>34</v>
      </c>
      <c r="K6">
        <v>0</v>
      </c>
      <c r="L6">
        <v>30660.51</v>
      </c>
    </row>
    <row r="7" spans="1:12" x14ac:dyDescent="0.3">
      <c r="A7" t="s">
        <v>33</v>
      </c>
      <c r="B7" t="s">
        <v>27</v>
      </c>
      <c r="C7" t="s">
        <v>14</v>
      </c>
      <c r="D7">
        <v>112474</v>
      </c>
      <c r="E7">
        <v>147471</v>
      </c>
      <c r="F7">
        <v>34997</v>
      </c>
      <c r="G7">
        <v>0.31119999999999998</v>
      </c>
      <c r="H7" t="s">
        <v>15</v>
      </c>
      <c r="I7" t="s">
        <v>16</v>
      </c>
      <c r="J7" t="s">
        <v>17</v>
      </c>
      <c r="K7">
        <v>0</v>
      </c>
      <c r="L7">
        <v>55727.86</v>
      </c>
    </row>
    <row r="8" spans="1:12" x14ac:dyDescent="0.3">
      <c r="A8" t="s">
        <v>33</v>
      </c>
      <c r="B8" t="s">
        <v>28</v>
      </c>
      <c r="C8" t="s">
        <v>14</v>
      </c>
      <c r="D8">
        <v>104640</v>
      </c>
      <c r="E8">
        <v>148951</v>
      </c>
      <c r="F8">
        <v>44311</v>
      </c>
      <c r="G8">
        <v>0.42349999999999999</v>
      </c>
      <c r="H8" t="s">
        <v>15</v>
      </c>
      <c r="I8" t="s">
        <v>35</v>
      </c>
      <c r="J8" t="s">
        <v>20</v>
      </c>
      <c r="K8">
        <v>0</v>
      </c>
      <c r="L8">
        <v>29681.38</v>
      </c>
    </row>
    <row r="9" spans="1:12" x14ac:dyDescent="0.3">
      <c r="A9" t="s">
        <v>33</v>
      </c>
      <c r="B9" t="s">
        <v>29</v>
      </c>
      <c r="C9" t="s">
        <v>14</v>
      </c>
      <c r="D9">
        <v>28262</v>
      </c>
      <c r="E9">
        <v>24867</v>
      </c>
      <c r="F9">
        <v>-3395</v>
      </c>
      <c r="G9">
        <v>-0.1201</v>
      </c>
      <c r="I9" t="s">
        <v>19</v>
      </c>
      <c r="J9" t="s">
        <v>34</v>
      </c>
      <c r="K9">
        <v>0</v>
      </c>
      <c r="L9">
        <v>6897.84</v>
      </c>
    </row>
    <row r="10" spans="1:12" x14ac:dyDescent="0.3">
      <c r="A10" t="s">
        <v>33</v>
      </c>
      <c r="B10" t="s">
        <v>31</v>
      </c>
      <c r="C10" t="s">
        <v>14</v>
      </c>
      <c r="D10">
        <v>55713</v>
      </c>
      <c r="E10">
        <v>61569</v>
      </c>
      <c r="F10">
        <v>5856</v>
      </c>
      <c r="G10">
        <v>0.1051</v>
      </c>
      <c r="I10" t="s">
        <v>16</v>
      </c>
      <c r="J10" t="s">
        <v>17</v>
      </c>
      <c r="K10">
        <v>0</v>
      </c>
      <c r="L10">
        <v>24105.1</v>
      </c>
    </row>
    <row r="11" spans="1:12" x14ac:dyDescent="0.3">
      <c r="A11" t="s">
        <v>33</v>
      </c>
      <c r="B11" t="s">
        <v>32</v>
      </c>
      <c r="C11" t="s">
        <v>14</v>
      </c>
      <c r="D11">
        <v>130358</v>
      </c>
      <c r="E11">
        <v>162889</v>
      </c>
      <c r="F11">
        <v>32531</v>
      </c>
      <c r="G11">
        <v>0.24959999999999999</v>
      </c>
      <c r="H11" t="s">
        <v>15</v>
      </c>
      <c r="I11" t="s">
        <v>16</v>
      </c>
      <c r="J11" t="s">
        <v>14</v>
      </c>
      <c r="K11">
        <v>0</v>
      </c>
      <c r="L11">
        <v>51016.65</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36</v>
      </c>
      <c r="B2" t="s">
        <v>13</v>
      </c>
      <c r="C2" t="s">
        <v>14</v>
      </c>
      <c r="D2">
        <v>34415</v>
      </c>
      <c r="E2">
        <v>34256</v>
      </c>
      <c r="F2">
        <v>-159</v>
      </c>
      <c r="G2">
        <v>-4.5999999999999999E-3</v>
      </c>
      <c r="I2" t="s">
        <v>16</v>
      </c>
      <c r="J2" t="s">
        <v>14</v>
      </c>
      <c r="K2">
        <v>19</v>
      </c>
      <c r="L2">
        <v>9214.27</v>
      </c>
    </row>
    <row r="3" spans="1:12" x14ac:dyDescent="0.3">
      <c r="A3" t="s">
        <v>36</v>
      </c>
      <c r="B3" t="s">
        <v>18</v>
      </c>
      <c r="C3" t="s">
        <v>14</v>
      </c>
      <c r="D3">
        <v>110417</v>
      </c>
      <c r="E3">
        <v>80096</v>
      </c>
      <c r="F3">
        <v>-30321</v>
      </c>
      <c r="G3">
        <v>-0.27460000000000001</v>
      </c>
      <c r="H3" t="s">
        <v>22</v>
      </c>
      <c r="I3" t="s">
        <v>19</v>
      </c>
      <c r="J3" t="s">
        <v>34</v>
      </c>
      <c r="K3">
        <v>0</v>
      </c>
      <c r="L3">
        <v>12888.92</v>
      </c>
    </row>
    <row r="4" spans="1:12" x14ac:dyDescent="0.3">
      <c r="A4" t="s">
        <v>36</v>
      </c>
      <c r="B4" t="s">
        <v>21</v>
      </c>
      <c r="C4" t="s">
        <v>14</v>
      </c>
      <c r="D4">
        <v>142570</v>
      </c>
      <c r="E4">
        <v>162384</v>
      </c>
      <c r="F4">
        <v>19814</v>
      </c>
      <c r="G4">
        <v>0.13900000000000001</v>
      </c>
      <c r="I4" t="s">
        <v>16</v>
      </c>
      <c r="J4" t="s">
        <v>20</v>
      </c>
      <c r="K4">
        <v>0</v>
      </c>
      <c r="L4">
        <v>61528.81</v>
      </c>
    </row>
    <row r="5" spans="1:12" x14ac:dyDescent="0.3">
      <c r="A5" t="s">
        <v>36</v>
      </c>
      <c r="B5" t="s">
        <v>25</v>
      </c>
      <c r="C5" t="s">
        <v>14</v>
      </c>
      <c r="D5">
        <v>125055</v>
      </c>
      <c r="E5">
        <v>146322</v>
      </c>
      <c r="F5">
        <v>21267</v>
      </c>
      <c r="G5">
        <v>0.1701</v>
      </c>
      <c r="I5" t="s">
        <v>23</v>
      </c>
      <c r="J5" t="s">
        <v>20</v>
      </c>
      <c r="K5">
        <v>0</v>
      </c>
      <c r="L5">
        <v>24220.99</v>
      </c>
    </row>
    <row r="6" spans="1:12" x14ac:dyDescent="0.3">
      <c r="A6" t="s">
        <v>36</v>
      </c>
      <c r="B6" t="s">
        <v>26</v>
      </c>
      <c r="C6" t="s">
        <v>14</v>
      </c>
      <c r="D6">
        <v>74146</v>
      </c>
      <c r="E6">
        <v>103430</v>
      </c>
      <c r="F6">
        <v>29284</v>
      </c>
      <c r="G6">
        <v>0.39500000000000002</v>
      </c>
      <c r="H6" t="s">
        <v>15</v>
      </c>
      <c r="I6" t="s">
        <v>30</v>
      </c>
      <c r="J6" t="s">
        <v>20</v>
      </c>
      <c r="K6">
        <v>0</v>
      </c>
      <c r="L6">
        <v>21398.57</v>
      </c>
    </row>
    <row r="7" spans="1:12" x14ac:dyDescent="0.3">
      <c r="A7" t="s">
        <v>36</v>
      </c>
      <c r="B7" t="s">
        <v>27</v>
      </c>
      <c r="C7" t="s">
        <v>14</v>
      </c>
      <c r="D7">
        <v>137887</v>
      </c>
      <c r="E7">
        <v>116503</v>
      </c>
      <c r="F7">
        <v>-21384</v>
      </c>
      <c r="G7">
        <v>-0.15509999999999999</v>
      </c>
      <c r="I7" t="s">
        <v>16</v>
      </c>
      <c r="J7" t="s">
        <v>14</v>
      </c>
      <c r="K7">
        <v>0</v>
      </c>
      <c r="L7">
        <v>40240.65</v>
      </c>
    </row>
    <row r="8" spans="1:12" x14ac:dyDescent="0.3">
      <c r="A8" t="s">
        <v>36</v>
      </c>
      <c r="B8" t="s">
        <v>28</v>
      </c>
      <c r="C8" t="s">
        <v>14</v>
      </c>
      <c r="D8">
        <v>131894</v>
      </c>
      <c r="E8">
        <v>79961</v>
      </c>
      <c r="F8">
        <v>-51933</v>
      </c>
      <c r="G8">
        <v>-0.39369999999999999</v>
      </c>
      <c r="H8" t="s">
        <v>22</v>
      </c>
      <c r="I8" t="s">
        <v>16</v>
      </c>
      <c r="J8" t="s">
        <v>14</v>
      </c>
      <c r="K8">
        <v>0</v>
      </c>
      <c r="L8">
        <v>19626.349999999999</v>
      </c>
    </row>
    <row r="9" spans="1:12" x14ac:dyDescent="0.3">
      <c r="A9" t="s">
        <v>36</v>
      </c>
      <c r="B9" t="s">
        <v>29</v>
      </c>
      <c r="C9" t="s">
        <v>14</v>
      </c>
      <c r="D9">
        <v>110016</v>
      </c>
      <c r="E9">
        <v>92685</v>
      </c>
      <c r="F9">
        <v>-17331</v>
      </c>
      <c r="G9">
        <v>-0.1575</v>
      </c>
      <c r="I9" t="s">
        <v>16</v>
      </c>
      <c r="J9" t="s">
        <v>14</v>
      </c>
      <c r="K9">
        <v>0</v>
      </c>
      <c r="L9">
        <v>20497.37</v>
      </c>
    </row>
    <row r="10" spans="1:12" x14ac:dyDescent="0.3">
      <c r="A10" t="s">
        <v>36</v>
      </c>
      <c r="B10" t="s">
        <v>31</v>
      </c>
      <c r="C10" t="s">
        <v>14</v>
      </c>
      <c r="D10">
        <v>28435</v>
      </c>
      <c r="E10">
        <v>23559</v>
      </c>
      <c r="F10">
        <v>-4876</v>
      </c>
      <c r="G10">
        <v>-0.17150000000000001</v>
      </c>
      <c r="I10" t="s">
        <v>23</v>
      </c>
      <c r="J10" t="s">
        <v>24</v>
      </c>
      <c r="K10">
        <v>0</v>
      </c>
      <c r="L10">
        <v>7390.01</v>
      </c>
    </row>
    <row r="11" spans="1:12" x14ac:dyDescent="0.3">
      <c r="A11" t="s">
        <v>36</v>
      </c>
      <c r="B11" t="s">
        <v>32</v>
      </c>
      <c r="C11" t="s">
        <v>14</v>
      </c>
      <c r="D11">
        <v>39251</v>
      </c>
      <c r="E11">
        <v>58796</v>
      </c>
      <c r="F11">
        <v>19545</v>
      </c>
      <c r="G11">
        <v>0.49790000000000001</v>
      </c>
      <c r="H11" t="s">
        <v>15</v>
      </c>
      <c r="I11" t="s">
        <v>16</v>
      </c>
      <c r="J11" t="s">
        <v>14</v>
      </c>
      <c r="K11">
        <v>0</v>
      </c>
      <c r="L11">
        <v>23105.919999999998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37</v>
      </c>
      <c r="B2" t="s">
        <v>13</v>
      </c>
      <c r="C2" t="s">
        <v>14</v>
      </c>
      <c r="D2">
        <v>73434</v>
      </c>
      <c r="E2">
        <v>46244</v>
      </c>
      <c r="F2">
        <v>-27190</v>
      </c>
      <c r="G2">
        <v>-0.37030000000000002</v>
      </c>
      <c r="H2" t="s">
        <v>22</v>
      </c>
      <c r="I2" t="s">
        <v>35</v>
      </c>
      <c r="J2" t="s">
        <v>14</v>
      </c>
      <c r="K2">
        <v>18</v>
      </c>
      <c r="L2">
        <v>14067.96</v>
      </c>
    </row>
    <row r="3" spans="1:12" x14ac:dyDescent="0.3">
      <c r="A3" t="s">
        <v>37</v>
      </c>
      <c r="B3" t="s">
        <v>18</v>
      </c>
      <c r="C3" t="s">
        <v>14</v>
      </c>
      <c r="D3">
        <v>89021</v>
      </c>
      <c r="E3">
        <v>89288</v>
      </c>
      <c r="F3">
        <v>267</v>
      </c>
      <c r="G3">
        <v>3.0000000000000001E-3</v>
      </c>
      <c r="I3" t="s">
        <v>23</v>
      </c>
      <c r="J3" t="s">
        <v>34</v>
      </c>
      <c r="K3">
        <v>0</v>
      </c>
      <c r="L3">
        <v>18830.509999999998</v>
      </c>
    </row>
    <row r="4" spans="1:12" x14ac:dyDescent="0.3">
      <c r="A4" t="s">
        <v>37</v>
      </c>
      <c r="B4" t="s">
        <v>21</v>
      </c>
      <c r="C4" t="s">
        <v>14</v>
      </c>
      <c r="D4">
        <v>51480</v>
      </c>
      <c r="E4">
        <v>68099</v>
      </c>
      <c r="F4">
        <v>16619</v>
      </c>
      <c r="G4">
        <v>0.32279999999999998</v>
      </c>
      <c r="H4" t="s">
        <v>15</v>
      </c>
      <c r="I4" t="s">
        <v>19</v>
      </c>
      <c r="J4" t="s">
        <v>20</v>
      </c>
      <c r="K4">
        <v>0</v>
      </c>
      <c r="L4">
        <v>26900.94</v>
      </c>
    </row>
    <row r="5" spans="1:12" x14ac:dyDescent="0.3">
      <c r="A5" t="s">
        <v>37</v>
      </c>
      <c r="B5" t="s">
        <v>25</v>
      </c>
      <c r="C5" t="s">
        <v>14</v>
      </c>
      <c r="D5">
        <v>71847</v>
      </c>
      <c r="E5">
        <v>95900</v>
      </c>
      <c r="F5">
        <v>24053</v>
      </c>
      <c r="G5">
        <v>0.33479999999999999</v>
      </c>
      <c r="H5" t="s">
        <v>15</v>
      </c>
      <c r="I5" t="s">
        <v>35</v>
      </c>
      <c r="J5" t="s">
        <v>14</v>
      </c>
      <c r="K5">
        <v>0</v>
      </c>
      <c r="L5">
        <v>18818.84</v>
      </c>
    </row>
    <row r="6" spans="1:12" x14ac:dyDescent="0.3">
      <c r="A6" t="s">
        <v>37</v>
      </c>
      <c r="B6" t="s">
        <v>26</v>
      </c>
      <c r="C6" t="s">
        <v>14</v>
      </c>
      <c r="D6">
        <v>44247</v>
      </c>
      <c r="E6">
        <v>28171</v>
      </c>
      <c r="F6">
        <v>-16076</v>
      </c>
      <c r="G6">
        <v>-0.36330000000000001</v>
      </c>
      <c r="H6" t="s">
        <v>22</v>
      </c>
      <c r="I6" t="s">
        <v>23</v>
      </c>
      <c r="J6" t="s">
        <v>20</v>
      </c>
      <c r="K6">
        <v>0</v>
      </c>
      <c r="L6">
        <v>8543.4</v>
      </c>
    </row>
    <row r="7" spans="1:12" x14ac:dyDescent="0.3">
      <c r="A7" t="s">
        <v>37</v>
      </c>
      <c r="B7" t="s">
        <v>27</v>
      </c>
      <c r="C7" t="s">
        <v>14</v>
      </c>
      <c r="D7">
        <v>22156</v>
      </c>
      <c r="E7">
        <v>23504</v>
      </c>
      <c r="F7">
        <v>1348</v>
      </c>
      <c r="G7">
        <v>6.08E-2</v>
      </c>
      <c r="I7" t="s">
        <v>16</v>
      </c>
      <c r="J7" t="s">
        <v>20</v>
      </c>
      <c r="K7">
        <v>0</v>
      </c>
      <c r="L7">
        <v>6899.64</v>
      </c>
    </row>
    <row r="8" spans="1:12" x14ac:dyDescent="0.3">
      <c r="A8" t="s">
        <v>37</v>
      </c>
      <c r="B8" t="s">
        <v>28</v>
      </c>
      <c r="C8" t="s">
        <v>14</v>
      </c>
      <c r="D8">
        <v>42667</v>
      </c>
      <c r="E8">
        <v>52132</v>
      </c>
      <c r="F8">
        <v>9465</v>
      </c>
      <c r="G8">
        <v>0.2218</v>
      </c>
      <c r="H8" t="s">
        <v>15</v>
      </c>
      <c r="I8" t="s">
        <v>30</v>
      </c>
      <c r="J8" t="s">
        <v>14</v>
      </c>
      <c r="K8">
        <v>0</v>
      </c>
      <c r="L8">
        <v>15780.72</v>
      </c>
    </row>
    <row r="9" spans="1:12" x14ac:dyDescent="0.3">
      <c r="A9" t="s">
        <v>37</v>
      </c>
      <c r="B9" t="s">
        <v>29</v>
      </c>
      <c r="C9" t="s">
        <v>14</v>
      </c>
      <c r="D9">
        <v>115578</v>
      </c>
      <c r="E9">
        <v>91094</v>
      </c>
      <c r="F9">
        <v>-24484</v>
      </c>
      <c r="G9">
        <v>-0.21179999999999999</v>
      </c>
      <c r="H9" t="s">
        <v>22</v>
      </c>
      <c r="I9" t="s">
        <v>30</v>
      </c>
      <c r="J9" t="s">
        <v>34</v>
      </c>
      <c r="K9">
        <v>0</v>
      </c>
      <c r="L9">
        <v>15355.26</v>
      </c>
    </row>
    <row r="10" spans="1:12" x14ac:dyDescent="0.3">
      <c r="A10" t="s">
        <v>37</v>
      </c>
      <c r="B10" t="s">
        <v>31</v>
      </c>
      <c r="C10" t="s">
        <v>14</v>
      </c>
      <c r="D10">
        <v>42744</v>
      </c>
      <c r="E10">
        <v>63430</v>
      </c>
      <c r="F10">
        <v>20686</v>
      </c>
      <c r="G10">
        <v>0.48399999999999999</v>
      </c>
      <c r="H10" t="s">
        <v>15</v>
      </c>
      <c r="I10" t="s">
        <v>23</v>
      </c>
      <c r="J10" t="s">
        <v>20</v>
      </c>
      <c r="K10">
        <v>0</v>
      </c>
      <c r="L10">
        <v>11306.32</v>
      </c>
    </row>
    <row r="11" spans="1:12" x14ac:dyDescent="0.3">
      <c r="A11" t="s">
        <v>37</v>
      </c>
      <c r="B11" t="s">
        <v>32</v>
      </c>
      <c r="C11" t="s">
        <v>14</v>
      </c>
      <c r="D11">
        <v>149512</v>
      </c>
      <c r="E11">
        <v>219614</v>
      </c>
      <c r="F11">
        <v>70102</v>
      </c>
      <c r="G11">
        <v>0.46889999999999998</v>
      </c>
      <c r="H11" t="s">
        <v>15</v>
      </c>
      <c r="I11" t="s">
        <v>19</v>
      </c>
      <c r="J11" t="s">
        <v>17</v>
      </c>
      <c r="K11">
        <v>0</v>
      </c>
      <c r="L11">
        <v>80113.19</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38</v>
      </c>
      <c r="B2" t="s">
        <v>13</v>
      </c>
      <c r="C2" t="s">
        <v>14</v>
      </c>
      <c r="D2">
        <v>44531</v>
      </c>
      <c r="E2">
        <v>37895</v>
      </c>
      <c r="F2">
        <v>-6636</v>
      </c>
      <c r="G2">
        <v>-0.14899999999999999</v>
      </c>
      <c r="I2" t="s">
        <v>16</v>
      </c>
      <c r="J2" t="s">
        <v>34</v>
      </c>
      <c r="K2">
        <v>19</v>
      </c>
      <c r="L2">
        <v>13874.34</v>
      </c>
    </row>
    <row r="3" spans="1:12" x14ac:dyDescent="0.3">
      <c r="A3" t="s">
        <v>38</v>
      </c>
      <c r="B3" t="s">
        <v>18</v>
      </c>
      <c r="C3" t="s">
        <v>14</v>
      </c>
      <c r="D3">
        <v>121383</v>
      </c>
      <c r="E3">
        <v>142968</v>
      </c>
      <c r="F3">
        <v>21585</v>
      </c>
      <c r="G3">
        <v>0.17780000000000001</v>
      </c>
      <c r="I3" t="s">
        <v>16</v>
      </c>
      <c r="J3" t="s">
        <v>14</v>
      </c>
      <c r="K3">
        <v>0</v>
      </c>
      <c r="L3">
        <v>21229.119999999999</v>
      </c>
    </row>
    <row r="4" spans="1:12" x14ac:dyDescent="0.3">
      <c r="A4" t="s">
        <v>38</v>
      </c>
      <c r="B4" t="s">
        <v>21</v>
      </c>
      <c r="C4" t="s">
        <v>14</v>
      </c>
      <c r="D4">
        <v>136812</v>
      </c>
      <c r="E4">
        <v>156757</v>
      </c>
      <c r="F4">
        <v>19945</v>
      </c>
      <c r="G4">
        <v>0.14580000000000001</v>
      </c>
      <c r="I4" t="s">
        <v>16</v>
      </c>
      <c r="J4" t="s">
        <v>14</v>
      </c>
      <c r="K4">
        <v>0</v>
      </c>
      <c r="L4">
        <v>46878.26</v>
      </c>
    </row>
    <row r="5" spans="1:12" x14ac:dyDescent="0.3">
      <c r="A5" t="s">
        <v>38</v>
      </c>
      <c r="B5" t="s">
        <v>25</v>
      </c>
      <c r="C5" t="s">
        <v>14</v>
      </c>
      <c r="D5">
        <v>20658</v>
      </c>
      <c r="E5">
        <v>15384</v>
      </c>
      <c r="F5">
        <v>-5274</v>
      </c>
      <c r="G5">
        <v>-0.25530000000000003</v>
      </c>
      <c r="H5" t="s">
        <v>22</v>
      </c>
      <c r="I5" t="s">
        <v>30</v>
      </c>
      <c r="J5" t="s">
        <v>24</v>
      </c>
      <c r="K5">
        <v>0</v>
      </c>
      <c r="L5">
        <v>4731.63</v>
      </c>
    </row>
    <row r="6" spans="1:12" x14ac:dyDescent="0.3">
      <c r="A6" t="s">
        <v>38</v>
      </c>
      <c r="B6" t="s">
        <v>26</v>
      </c>
      <c r="C6" t="s">
        <v>14</v>
      </c>
      <c r="D6">
        <v>104754</v>
      </c>
      <c r="E6">
        <v>83996</v>
      </c>
      <c r="F6">
        <v>-20758</v>
      </c>
      <c r="G6">
        <v>-0.19819999999999999</v>
      </c>
      <c r="I6" t="s">
        <v>35</v>
      </c>
      <c r="J6" t="s">
        <v>20</v>
      </c>
      <c r="K6">
        <v>0</v>
      </c>
      <c r="L6">
        <v>14377.99</v>
      </c>
    </row>
    <row r="7" spans="1:12" x14ac:dyDescent="0.3">
      <c r="A7" t="s">
        <v>38</v>
      </c>
      <c r="B7" t="s">
        <v>27</v>
      </c>
      <c r="C7" t="s">
        <v>14</v>
      </c>
      <c r="D7">
        <v>62301</v>
      </c>
      <c r="E7">
        <v>79237</v>
      </c>
      <c r="F7">
        <v>16936</v>
      </c>
      <c r="G7">
        <v>0.27179999999999999</v>
      </c>
      <c r="H7" t="s">
        <v>15</v>
      </c>
      <c r="I7" t="s">
        <v>16</v>
      </c>
      <c r="J7" t="s">
        <v>14</v>
      </c>
      <c r="K7">
        <v>0</v>
      </c>
      <c r="L7">
        <v>15246.64</v>
      </c>
    </row>
    <row r="8" spans="1:12" x14ac:dyDescent="0.3">
      <c r="A8" t="s">
        <v>38</v>
      </c>
      <c r="B8" t="s">
        <v>28</v>
      </c>
      <c r="C8" t="s">
        <v>14</v>
      </c>
      <c r="D8">
        <v>90530</v>
      </c>
      <c r="E8">
        <v>95774</v>
      </c>
      <c r="F8">
        <v>5244</v>
      </c>
      <c r="G8">
        <v>5.79E-2</v>
      </c>
      <c r="I8" t="s">
        <v>19</v>
      </c>
      <c r="J8" t="s">
        <v>34</v>
      </c>
      <c r="K8">
        <v>0</v>
      </c>
      <c r="L8">
        <v>35207.86</v>
      </c>
    </row>
    <row r="9" spans="1:12" x14ac:dyDescent="0.3">
      <c r="A9" t="s">
        <v>38</v>
      </c>
      <c r="B9" t="s">
        <v>29</v>
      </c>
      <c r="C9" t="s">
        <v>14</v>
      </c>
      <c r="D9">
        <v>102048</v>
      </c>
      <c r="E9">
        <v>134226</v>
      </c>
      <c r="F9">
        <v>32178</v>
      </c>
      <c r="G9">
        <v>0.31530000000000002</v>
      </c>
      <c r="H9" t="s">
        <v>15</v>
      </c>
      <c r="I9" t="s">
        <v>35</v>
      </c>
      <c r="J9" t="s">
        <v>20</v>
      </c>
      <c r="K9">
        <v>0</v>
      </c>
      <c r="L9">
        <v>40358.699999999997</v>
      </c>
    </row>
    <row r="10" spans="1:12" x14ac:dyDescent="0.3">
      <c r="A10" t="s">
        <v>38</v>
      </c>
      <c r="B10" t="s">
        <v>31</v>
      </c>
      <c r="C10" t="s">
        <v>14</v>
      </c>
      <c r="D10">
        <v>132341</v>
      </c>
      <c r="E10">
        <v>106821</v>
      </c>
      <c r="F10">
        <v>-25520</v>
      </c>
      <c r="G10">
        <v>-0.1928</v>
      </c>
      <c r="I10" t="s">
        <v>16</v>
      </c>
      <c r="J10" t="s">
        <v>20</v>
      </c>
      <c r="K10">
        <v>0</v>
      </c>
      <c r="L10">
        <v>11461.34</v>
      </c>
    </row>
    <row r="11" spans="1:12" x14ac:dyDescent="0.3">
      <c r="A11" t="s">
        <v>38</v>
      </c>
      <c r="B11" t="s">
        <v>32</v>
      </c>
      <c r="C11" t="s">
        <v>14</v>
      </c>
      <c r="D11">
        <v>103911</v>
      </c>
      <c r="E11">
        <v>78909</v>
      </c>
      <c r="F11">
        <v>-25002</v>
      </c>
      <c r="G11">
        <v>-0.24060000000000001</v>
      </c>
      <c r="H11" t="s">
        <v>22</v>
      </c>
      <c r="I11" t="s">
        <v>23</v>
      </c>
      <c r="J11" t="s">
        <v>17</v>
      </c>
      <c r="K11">
        <v>0</v>
      </c>
      <c r="L11">
        <v>14508.85</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39</v>
      </c>
      <c r="B2" t="s">
        <v>13</v>
      </c>
      <c r="C2" t="s">
        <v>14</v>
      </c>
      <c r="D2">
        <v>134854</v>
      </c>
      <c r="E2">
        <v>171661</v>
      </c>
      <c r="F2">
        <v>36807</v>
      </c>
      <c r="G2">
        <v>0.27289999999999998</v>
      </c>
      <c r="H2" t="s">
        <v>15</v>
      </c>
      <c r="I2" t="s">
        <v>19</v>
      </c>
      <c r="J2" t="s">
        <v>17</v>
      </c>
      <c r="K2">
        <v>16</v>
      </c>
      <c r="L2">
        <v>45632.56</v>
      </c>
    </row>
    <row r="3" spans="1:12" x14ac:dyDescent="0.3">
      <c r="A3" t="s">
        <v>39</v>
      </c>
      <c r="B3" t="s">
        <v>18</v>
      </c>
      <c r="C3" t="s">
        <v>14</v>
      </c>
      <c r="D3">
        <v>94398</v>
      </c>
      <c r="E3">
        <v>139926</v>
      </c>
      <c r="F3">
        <v>45528</v>
      </c>
      <c r="G3">
        <v>0.48230000000000001</v>
      </c>
      <c r="H3" t="s">
        <v>15</v>
      </c>
      <c r="I3" t="s">
        <v>23</v>
      </c>
      <c r="J3" t="s">
        <v>17</v>
      </c>
      <c r="K3">
        <v>0</v>
      </c>
      <c r="L3">
        <v>30158.16</v>
      </c>
    </row>
    <row r="4" spans="1:12" x14ac:dyDescent="0.3">
      <c r="A4" t="s">
        <v>39</v>
      </c>
      <c r="B4" t="s">
        <v>21</v>
      </c>
      <c r="C4" t="s">
        <v>14</v>
      </c>
      <c r="D4">
        <v>130647</v>
      </c>
      <c r="E4">
        <v>115652</v>
      </c>
      <c r="F4">
        <v>-14995</v>
      </c>
      <c r="G4">
        <v>-0.1148</v>
      </c>
      <c r="I4" t="s">
        <v>30</v>
      </c>
      <c r="J4" t="s">
        <v>14</v>
      </c>
      <c r="K4">
        <v>0</v>
      </c>
      <c r="L4">
        <v>25259.26</v>
      </c>
    </row>
    <row r="5" spans="1:12" x14ac:dyDescent="0.3">
      <c r="A5" t="s">
        <v>39</v>
      </c>
      <c r="B5" t="s">
        <v>25</v>
      </c>
      <c r="C5" t="s">
        <v>14</v>
      </c>
      <c r="D5">
        <v>129747</v>
      </c>
      <c r="E5">
        <v>186448</v>
      </c>
      <c r="F5">
        <v>56701</v>
      </c>
      <c r="G5">
        <v>0.437</v>
      </c>
      <c r="H5" t="s">
        <v>15</v>
      </c>
      <c r="I5" t="s">
        <v>30</v>
      </c>
      <c r="J5" t="s">
        <v>24</v>
      </c>
      <c r="K5">
        <v>0</v>
      </c>
      <c r="L5">
        <v>32861.29</v>
      </c>
    </row>
    <row r="6" spans="1:12" x14ac:dyDescent="0.3">
      <c r="A6" t="s">
        <v>39</v>
      </c>
      <c r="B6" t="s">
        <v>26</v>
      </c>
      <c r="C6" t="s">
        <v>14</v>
      </c>
      <c r="D6">
        <v>58387</v>
      </c>
      <c r="E6">
        <v>51981</v>
      </c>
      <c r="F6">
        <v>-6406</v>
      </c>
      <c r="G6">
        <v>-0.10970000000000001</v>
      </c>
      <c r="I6" t="s">
        <v>35</v>
      </c>
      <c r="J6" t="s">
        <v>14</v>
      </c>
      <c r="K6">
        <v>0</v>
      </c>
      <c r="L6">
        <v>16152.85</v>
      </c>
    </row>
    <row r="7" spans="1:12" x14ac:dyDescent="0.3">
      <c r="A7" t="s">
        <v>39</v>
      </c>
      <c r="B7" t="s">
        <v>27</v>
      </c>
      <c r="C7" t="s">
        <v>14</v>
      </c>
      <c r="D7">
        <v>66733</v>
      </c>
      <c r="E7">
        <v>57672</v>
      </c>
      <c r="F7">
        <v>-9061</v>
      </c>
      <c r="G7">
        <v>-0.1358</v>
      </c>
      <c r="I7" t="s">
        <v>30</v>
      </c>
      <c r="J7" t="s">
        <v>34</v>
      </c>
      <c r="K7">
        <v>0</v>
      </c>
      <c r="L7">
        <v>10199.99</v>
      </c>
    </row>
    <row r="8" spans="1:12" x14ac:dyDescent="0.3">
      <c r="A8" t="s">
        <v>39</v>
      </c>
      <c r="B8" t="s">
        <v>28</v>
      </c>
      <c r="C8" t="s">
        <v>14</v>
      </c>
      <c r="D8">
        <v>99496</v>
      </c>
      <c r="E8">
        <v>67004</v>
      </c>
      <c r="F8">
        <v>-32492</v>
      </c>
      <c r="G8">
        <v>-0.3266</v>
      </c>
      <c r="H8" t="s">
        <v>22</v>
      </c>
      <c r="I8" t="s">
        <v>35</v>
      </c>
      <c r="J8" t="s">
        <v>20</v>
      </c>
      <c r="K8">
        <v>0</v>
      </c>
      <c r="L8">
        <v>22747.09</v>
      </c>
    </row>
    <row r="9" spans="1:12" x14ac:dyDescent="0.3">
      <c r="A9" t="s">
        <v>39</v>
      </c>
      <c r="B9" t="s">
        <v>29</v>
      </c>
      <c r="C9" t="s">
        <v>14</v>
      </c>
      <c r="D9">
        <v>104495</v>
      </c>
      <c r="E9">
        <v>128713</v>
      </c>
      <c r="F9">
        <v>24218</v>
      </c>
      <c r="G9">
        <v>0.23180000000000001</v>
      </c>
      <c r="H9" t="s">
        <v>15</v>
      </c>
      <c r="I9" t="s">
        <v>23</v>
      </c>
      <c r="J9" t="s">
        <v>34</v>
      </c>
      <c r="K9">
        <v>0</v>
      </c>
      <c r="L9">
        <v>25922.61</v>
      </c>
    </row>
    <row r="10" spans="1:12" x14ac:dyDescent="0.3">
      <c r="A10" t="s">
        <v>39</v>
      </c>
      <c r="B10" t="s">
        <v>31</v>
      </c>
      <c r="C10" t="s">
        <v>14</v>
      </c>
      <c r="D10">
        <v>68825</v>
      </c>
      <c r="E10">
        <v>47116</v>
      </c>
      <c r="F10">
        <v>-21709</v>
      </c>
      <c r="G10">
        <v>-0.31540000000000001</v>
      </c>
      <c r="H10" t="s">
        <v>22</v>
      </c>
      <c r="I10" t="s">
        <v>16</v>
      </c>
      <c r="J10" t="s">
        <v>14</v>
      </c>
      <c r="K10">
        <v>0</v>
      </c>
      <c r="L10">
        <v>6903.08</v>
      </c>
    </row>
    <row r="11" spans="1:12" x14ac:dyDescent="0.3">
      <c r="A11" t="s">
        <v>39</v>
      </c>
      <c r="B11" t="s">
        <v>32</v>
      </c>
      <c r="C11" t="s">
        <v>14</v>
      </c>
      <c r="D11">
        <v>147639</v>
      </c>
      <c r="E11">
        <v>200056</v>
      </c>
      <c r="F11">
        <v>52417</v>
      </c>
      <c r="G11">
        <v>0.35499999999999998</v>
      </c>
      <c r="H11" t="s">
        <v>15</v>
      </c>
      <c r="I11" t="s">
        <v>30</v>
      </c>
      <c r="J11" t="s">
        <v>14</v>
      </c>
      <c r="K11">
        <v>0</v>
      </c>
      <c r="L11">
        <v>22247.119999999999</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40</v>
      </c>
      <c r="B2" t="s">
        <v>13</v>
      </c>
      <c r="C2" t="s">
        <v>14</v>
      </c>
      <c r="D2">
        <v>126938</v>
      </c>
      <c r="E2">
        <v>117312</v>
      </c>
      <c r="F2">
        <v>-9626</v>
      </c>
      <c r="G2">
        <v>-7.5800000000000006E-2</v>
      </c>
      <c r="I2" t="s">
        <v>23</v>
      </c>
      <c r="J2" t="s">
        <v>17</v>
      </c>
      <c r="K2">
        <v>0</v>
      </c>
      <c r="L2">
        <v>40866.89</v>
      </c>
    </row>
    <row r="3" spans="1:12" x14ac:dyDescent="0.3">
      <c r="A3" t="s">
        <v>40</v>
      </c>
      <c r="B3" t="s">
        <v>18</v>
      </c>
      <c r="C3" t="s">
        <v>14</v>
      </c>
      <c r="D3">
        <v>55300</v>
      </c>
      <c r="E3">
        <v>81220</v>
      </c>
      <c r="F3">
        <v>25920</v>
      </c>
      <c r="G3">
        <v>0.46870000000000001</v>
      </c>
      <c r="H3" t="s">
        <v>15</v>
      </c>
      <c r="I3" t="s">
        <v>23</v>
      </c>
      <c r="J3" t="s">
        <v>17</v>
      </c>
      <c r="K3">
        <v>0</v>
      </c>
      <c r="L3">
        <v>12858.26</v>
      </c>
    </row>
    <row r="4" spans="1:12" x14ac:dyDescent="0.3">
      <c r="A4" t="s">
        <v>40</v>
      </c>
      <c r="B4" t="s">
        <v>21</v>
      </c>
      <c r="C4" t="s">
        <v>14</v>
      </c>
      <c r="D4">
        <v>73476</v>
      </c>
      <c r="E4">
        <v>90343</v>
      </c>
      <c r="F4">
        <v>16867</v>
      </c>
      <c r="G4">
        <v>0.2296</v>
      </c>
      <c r="H4" t="s">
        <v>15</v>
      </c>
      <c r="I4" t="s">
        <v>23</v>
      </c>
      <c r="J4" t="s">
        <v>17</v>
      </c>
      <c r="K4">
        <v>0</v>
      </c>
      <c r="L4">
        <v>35311.56</v>
      </c>
    </row>
    <row r="5" spans="1:12" x14ac:dyDescent="0.3">
      <c r="A5" t="s">
        <v>40</v>
      </c>
      <c r="B5" t="s">
        <v>25</v>
      </c>
      <c r="C5" t="s">
        <v>14</v>
      </c>
      <c r="D5">
        <v>112897</v>
      </c>
      <c r="E5">
        <v>71910</v>
      </c>
      <c r="F5">
        <v>-40987</v>
      </c>
      <c r="G5">
        <v>-0.36299999999999999</v>
      </c>
      <c r="H5" t="s">
        <v>22</v>
      </c>
      <c r="I5" t="s">
        <v>16</v>
      </c>
      <c r="J5" t="s">
        <v>20</v>
      </c>
      <c r="K5">
        <v>0</v>
      </c>
      <c r="L5">
        <v>23242.23</v>
      </c>
    </row>
    <row r="6" spans="1:12" x14ac:dyDescent="0.3">
      <c r="A6" t="s">
        <v>40</v>
      </c>
      <c r="B6" t="s">
        <v>26</v>
      </c>
      <c r="C6" t="s">
        <v>14</v>
      </c>
      <c r="D6">
        <v>52611</v>
      </c>
      <c r="E6">
        <v>40294</v>
      </c>
      <c r="F6">
        <v>-12317</v>
      </c>
      <c r="G6">
        <v>-0.2341</v>
      </c>
      <c r="H6" t="s">
        <v>22</v>
      </c>
      <c r="I6" t="s">
        <v>35</v>
      </c>
      <c r="J6" t="s">
        <v>20</v>
      </c>
      <c r="K6">
        <v>0</v>
      </c>
      <c r="L6">
        <v>8972.9</v>
      </c>
    </row>
    <row r="7" spans="1:12" x14ac:dyDescent="0.3">
      <c r="A7" t="s">
        <v>40</v>
      </c>
      <c r="B7" t="s">
        <v>27</v>
      </c>
      <c r="C7" t="s">
        <v>14</v>
      </c>
      <c r="D7">
        <v>42528</v>
      </c>
      <c r="E7">
        <v>31504</v>
      </c>
      <c r="F7">
        <v>-11024</v>
      </c>
      <c r="G7">
        <v>-0.25919999999999999</v>
      </c>
      <c r="H7" t="s">
        <v>22</v>
      </c>
      <c r="I7" t="s">
        <v>30</v>
      </c>
      <c r="J7" t="s">
        <v>14</v>
      </c>
      <c r="K7">
        <v>0</v>
      </c>
      <c r="L7">
        <v>9390.06</v>
      </c>
    </row>
    <row r="8" spans="1:12" x14ac:dyDescent="0.3">
      <c r="A8" t="s">
        <v>40</v>
      </c>
      <c r="B8" t="s">
        <v>28</v>
      </c>
      <c r="C8" t="s">
        <v>14</v>
      </c>
      <c r="D8">
        <v>56391</v>
      </c>
      <c r="E8">
        <v>82295</v>
      </c>
      <c r="F8">
        <v>25904</v>
      </c>
      <c r="G8">
        <v>0.45939999999999998</v>
      </c>
      <c r="H8" t="s">
        <v>15</v>
      </c>
      <c r="I8" t="s">
        <v>19</v>
      </c>
      <c r="J8" t="s">
        <v>17</v>
      </c>
      <c r="K8">
        <v>0</v>
      </c>
      <c r="L8">
        <v>18588.8</v>
      </c>
    </row>
    <row r="9" spans="1:12" x14ac:dyDescent="0.3">
      <c r="A9" t="s">
        <v>40</v>
      </c>
      <c r="B9" t="s">
        <v>29</v>
      </c>
      <c r="C9" t="s">
        <v>14</v>
      </c>
      <c r="D9">
        <v>52205</v>
      </c>
      <c r="E9">
        <v>48048</v>
      </c>
      <c r="F9">
        <v>-4157</v>
      </c>
      <c r="G9">
        <v>-7.9600000000000004E-2</v>
      </c>
      <c r="I9" t="s">
        <v>19</v>
      </c>
      <c r="J9" t="s">
        <v>14</v>
      </c>
      <c r="K9">
        <v>0</v>
      </c>
      <c r="L9">
        <v>9732.7900000000009</v>
      </c>
    </row>
    <row r="10" spans="1:12" x14ac:dyDescent="0.3">
      <c r="A10" t="s">
        <v>40</v>
      </c>
      <c r="B10" t="s">
        <v>31</v>
      </c>
      <c r="C10" t="s">
        <v>14</v>
      </c>
      <c r="D10">
        <v>31933</v>
      </c>
      <c r="E10">
        <v>21865</v>
      </c>
      <c r="F10">
        <v>-10068</v>
      </c>
      <c r="G10">
        <v>-0.31530000000000002</v>
      </c>
      <c r="H10" t="s">
        <v>22</v>
      </c>
      <c r="I10" t="s">
        <v>23</v>
      </c>
      <c r="J10" t="s">
        <v>17</v>
      </c>
      <c r="K10">
        <v>0</v>
      </c>
      <c r="L10">
        <v>5296.84</v>
      </c>
    </row>
    <row r="11" spans="1:12" x14ac:dyDescent="0.3">
      <c r="A11" t="s">
        <v>40</v>
      </c>
      <c r="B11" t="s">
        <v>32</v>
      </c>
      <c r="C11" t="s">
        <v>14</v>
      </c>
      <c r="D11">
        <v>32718</v>
      </c>
      <c r="E11">
        <v>34107</v>
      </c>
      <c r="F11">
        <v>1389</v>
      </c>
      <c r="G11">
        <v>4.2500000000000003E-2</v>
      </c>
      <c r="I11" t="s">
        <v>23</v>
      </c>
      <c r="J11" t="s">
        <v>14</v>
      </c>
      <c r="K11">
        <v>0</v>
      </c>
      <c r="L11">
        <v>8165.29</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41</v>
      </c>
      <c r="B2" t="s">
        <v>13</v>
      </c>
      <c r="C2" t="s">
        <v>14</v>
      </c>
      <c r="D2">
        <v>104470</v>
      </c>
      <c r="E2">
        <v>67200</v>
      </c>
      <c r="F2">
        <v>-37270</v>
      </c>
      <c r="G2">
        <v>-0.35680000000000001</v>
      </c>
      <c r="H2" t="s">
        <v>22</v>
      </c>
      <c r="I2" t="s">
        <v>19</v>
      </c>
      <c r="J2" t="s">
        <v>20</v>
      </c>
      <c r="K2">
        <v>1</v>
      </c>
      <c r="L2">
        <v>11979.62</v>
      </c>
    </row>
    <row r="3" spans="1:12" x14ac:dyDescent="0.3">
      <c r="A3" t="s">
        <v>41</v>
      </c>
      <c r="B3" t="s">
        <v>18</v>
      </c>
      <c r="C3" t="s">
        <v>14</v>
      </c>
      <c r="D3">
        <v>21989</v>
      </c>
      <c r="E3">
        <v>31666</v>
      </c>
      <c r="F3">
        <v>9677</v>
      </c>
      <c r="G3">
        <v>0.44009999999999999</v>
      </c>
      <c r="H3" t="s">
        <v>15</v>
      </c>
      <c r="I3" t="s">
        <v>35</v>
      </c>
      <c r="J3" t="s">
        <v>17</v>
      </c>
      <c r="K3">
        <v>0</v>
      </c>
      <c r="L3">
        <v>9664.1200000000008</v>
      </c>
    </row>
    <row r="4" spans="1:12" x14ac:dyDescent="0.3">
      <c r="A4" t="s">
        <v>41</v>
      </c>
      <c r="B4" t="s">
        <v>21</v>
      </c>
      <c r="C4" t="s">
        <v>14</v>
      </c>
      <c r="D4">
        <v>100060</v>
      </c>
      <c r="E4">
        <v>145037</v>
      </c>
      <c r="F4">
        <v>44977</v>
      </c>
      <c r="G4">
        <v>0.44950000000000001</v>
      </c>
      <c r="H4" t="s">
        <v>15</v>
      </c>
      <c r="I4" t="s">
        <v>30</v>
      </c>
      <c r="J4" t="s">
        <v>14</v>
      </c>
      <c r="K4">
        <v>0</v>
      </c>
      <c r="L4">
        <v>52236.480000000003</v>
      </c>
    </row>
    <row r="5" spans="1:12" x14ac:dyDescent="0.3">
      <c r="A5" t="s">
        <v>41</v>
      </c>
      <c r="B5" t="s">
        <v>25</v>
      </c>
      <c r="C5" t="s">
        <v>14</v>
      </c>
      <c r="D5">
        <v>102732</v>
      </c>
      <c r="E5">
        <v>135694</v>
      </c>
      <c r="F5">
        <v>32962</v>
      </c>
      <c r="G5">
        <v>0.32090000000000002</v>
      </c>
      <c r="H5" t="s">
        <v>15</v>
      </c>
      <c r="I5" t="s">
        <v>23</v>
      </c>
      <c r="J5" t="s">
        <v>24</v>
      </c>
      <c r="K5">
        <v>0</v>
      </c>
      <c r="L5">
        <v>36910.14</v>
      </c>
    </row>
    <row r="6" spans="1:12" x14ac:dyDescent="0.3">
      <c r="A6" t="s">
        <v>41</v>
      </c>
      <c r="B6" t="s">
        <v>26</v>
      </c>
      <c r="C6" t="s">
        <v>14</v>
      </c>
      <c r="D6">
        <v>36705</v>
      </c>
      <c r="E6">
        <v>48820</v>
      </c>
      <c r="F6">
        <v>12115</v>
      </c>
      <c r="G6">
        <v>0.3301</v>
      </c>
      <c r="H6" t="s">
        <v>15</v>
      </c>
      <c r="I6" t="s">
        <v>16</v>
      </c>
      <c r="J6" t="s">
        <v>17</v>
      </c>
      <c r="K6">
        <v>0</v>
      </c>
      <c r="L6">
        <v>14049.51</v>
      </c>
    </row>
    <row r="7" spans="1:12" x14ac:dyDescent="0.3">
      <c r="A7" t="s">
        <v>41</v>
      </c>
      <c r="B7" t="s">
        <v>27</v>
      </c>
      <c r="C7" t="s">
        <v>14</v>
      </c>
      <c r="D7">
        <v>126655</v>
      </c>
      <c r="E7">
        <v>150255</v>
      </c>
      <c r="F7">
        <v>23600</v>
      </c>
      <c r="G7">
        <v>0.18629999999999999</v>
      </c>
      <c r="I7" t="s">
        <v>16</v>
      </c>
      <c r="J7" t="s">
        <v>20</v>
      </c>
      <c r="K7">
        <v>0</v>
      </c>
      <c r="L7">
        <v>27374.71</v>
      </c>
    </row>
    <row r="8" spans="1:12" x14ac:dyDescent="0.3">
      <c r="A8" t="s">
        <v>41</v>
      </c>
      <c r="B8" t="s">
        <v>28</v>
      </c>
      <c r="C8" t="s">
        <v>14</v>
      </c>
      <c r="D8">
        <v>47896</v>
      </c>
      <c r="E8">
        <v>44999</v>
      </c>
      <c r="F8">
        <v>-2897</v>
      </c>
      <c r="G8">
        <v>-6.0499999999999998E-2</v>
      </c>
      <c r="I8" t="s">
        <v>19</v>
      </c>
      <c r="J8" t="s">
        <v>34</v>
      </c>
      <c r="K8">
        <v>0</v>
      </c>
      <c r="L8">
        <v>12846.14</v>
      </c>
    </row>
    <row r="9" spans="1:12" x14ac:dyDescent="0.3">
      <c r="A9" t="s">
        <v>41</v>
      </c>
      <c r="B9" t="s">
        <v>29</v>
      </c>
      <c r="C9" t="s">
        <v>14</v>
      </c>
      <c r="D9">
        <v>63752</v>
      </c>
      <c r="E9">
        <v>75874</v>
      </c>
      <c r="F9">
        <v>12122</v>
      </c>
      <c r="G9">
        <v>0.19009999999999999</v>
      </c>
      <c r="I9" t="s">
        <v>19</v>
      </c>
      <c r="J9" t="s">
        <v>24</v>
      </c>
      <c r="K9">
        <v>0</v>
      </c>
      <c r="L9">
        <v>23102.43</v>
      </c>
    </row>
    <row r="10" spans="1:12" x14ac:dyDescent="0.3">
      <c r="A10" t="s">
        <v>41</v>
      </c>
      <c r="B10" t="s">
        <v>31</v>
      </c>
      <c r="C10" t="s">
        <v>14</v>
      </c>
      <c r="D10">
        <v>64281</v>
      </c>
      <c r="E10">
        <v>53650</v>
      </c>
      <c r="F10">
        <v>-10631</v>
      </c>
      <c r="G10">
        <v>-0.16539999999999999</v>
      </c>
      <c r="I10" t="s">
        <v>23</v>
      </c>
      <c r="J10" t="s">
        <v>24</v>
      </c>
      <c r="K10">
        <v>0</v>
      </c>
      <c r="L10">
        <v>16578.98</v>
      </c>
    </row>
    <row r="11" spans="1:12" x14ac:dyDescent="0.3">
      <c r="A11" t="s">
        <v>41</v>
      </c>
      <c r="B11" t="s">
        <v>32</v>
      </c>
      <c r="C11" t="s">
        <v>14</v>
      </c>
      <c r="D11">
        <v>101762</v>
      </c>
      <c r="E11">
        <v>141421</v>
      </c>
      <c r="F11">
        <v>39659</v>
      </c>
      <c r="G11">
        <v>0.38969999999999999</v>
      </c>
      <c r="H11" t="s">
        <v>15</v>
      </c>
      <c r="I11" t="s">
        <v>23</v>
      </c>
      <c r="J11" t="s">
        <v>14</v>
      </c>
      <c r="K11">
        <v>0</v>
      </c>
      <c r="L11">
        <v>48230.82</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42</v>
      </c>
      <c r="B2" t="s">
        <v>13</v>
      </c>
      <c r="C2" t="s">
        <v>14</v>
      </c>
      <c r="D2">
        <v>56664</v>
      </c>
      <c r="E2">
        <v>43047</v>
      </c>
      <c r="F2">
        <v>-13617</v>
      </c>
      <c r="G2">
        <v>-0.24030000000000001</v>
      </c>
      <c r="H2" t="s">
        <v>22</v>
      </c>
      <c r="I2" t="s">
        <v>35</v>
      </c>
      <c r="J2" t="s">
        <v>34</v>
      </c>
      <c r="K2">
        <v>16</v>
      </c>
      <c r="L2">
        <v>13753.27</v>
      </c>
    </row>
    <row r="3" spans="1:12" x14ac:dyDescent="0.3">
      <c r="A3" t="s">
        <v>42</v>
      </c>
      <c r="B3" t="s">
        <v>18</v>
      </c>
      <c r="C3" t="s">
        <v>14</v>
      </c>
      <c r="D3">
        <v>36599</v>
      </c>
      <c r="E3">
        <v>30194</v>
      </c>
      <c r="F3">
        <v>-6405</v>
      </c>
      <c r="G3">
        <v>-0.17499999999999999</v>
      </c>
      <c r="I3" t="s">
        <v>19</v>
      </c>
      <c r="J3" t="s">
        <v>20</v>
      </c>
      <c r="K3">
        <v>0</v>
      </c>
      <c r="L3">
        <v>6905.31</v>
      </c>
    </row>
    <row r="4" spans="1:12" x14ac:dyDescent="0.3">
      <c r="A4" t="s">
        <v>42</v>
      </c>
      <c r="B4" t="s">
        <v>21</v>
      </c>
      <c r="C4" t="s">
        <v>14</v>
      </c>
      <c r="D4">
        <v>117613</v>
      </c>
      <c r="E4">
        <v>150437</v>
      </c>
      <c r="F4">
        <v>32824</v>
      </c>
      <c r="G4">
        <v>0.27910000000000001</v>
      </c>
      <c r="H4" t="s">
        <v>15</v>
      </c>
      <c r="I4" t="s">
        <v>35</v>
      </c>
      <c r="J4" t="s">
        <v>14</v>
      </c>
      <c r="K4">
        <v>0</v>
      </c>
      <c r="L4">
        <v>39158.49</v>
      </c>
    </row>
    <row r="5" spans="1:12" x14ac:dyDescent="0.3">
      <c r="A5" t="s">
        <v>42</v>
      </c>
      <c r="B5" t="s">
        <v>25</v>
      </c>
      <c r="C5" t="s">
        <v>14</v>
      </c>
      <c r="D5">
        <v>84552</v>
      </c>
      <c r="E5">
        <v>80379</v>
      </c>
      <c r="F5">
        <v>-4173</v>
      </c>
      <c r="G5">
        <v>-4.9399999999999999E-2</v>
      </c>
      <c r="I5" t="s">
        <v>19</v>
      </c>
      <c r="J5" t="s">
        <v>34</v>
      </c>
      <c r="K5">
        <v>0</v>
      </c>
      <c r="L5">
        <v>10448.91</v>
      </c>
    </row>
    <row r="6" spans="1:12" x14ac:dyDescent="0.3">
      <c r="A6" t="s">
        <v>42</v>
      </c>
      <c r="B6" t="s">
        <v>26</v>
      </c>
      <c r="C6" t="s">
        <v>14</v>
      </c>
      <c r="D6">
        <v>26953</v>
      </c>
      <c r="E6">
        <v>39423</v>
      </c>
      <c r="F6">
        <v>12470</v>
      </c>
      <c r="G6">
        <v>0.4627</v>
      </c>
      <c r="H6" t="s">
        <v>15</v>
      </c>
      <c r="I6" t="s">
        <v>16</v>
      </c>
      <c r="J6" t="s">
        <v>20</v>
      </c>
      <c r="K6">
        <v>0</v>
      </c>
      <c r="L6">
        <v>8139.73</v>
      </c>
    </row>
    <row r="7" spans="1:12" x14ac:dyDescent="0.3">
      <c r="A7" t="s">
        <v>42</v>
      </c>
      <c r="B7" t="s">
        <v>27</v>
      </c>
      <c r="C7" t="s">
        <v>14</v>
      </c>
      <c r="D7">
        <v>144384</v>
      </c>
      <c r="E7">
        <v>174573</v>
      </c>
      <c r="F7">
        <v>30189</v>
      </c>
      <c r="G7">
        <v>0.20910000000000001</v>
      </c>
      <c r="H7" t="s">
        <v>15</v>
      </c>
      <c r="I7" t="s">
        <v>23</v>
      </c>
      <c r="J7" t="s">
        <v>34</v>
      </c>
      <c r="K7">
        <v>0</v>
      </c>
      <c r="L7">
        <v>43277.99</v>
      </c>
    </row>
    <row r="8" spans="1:12" x14ac:dyDescent="0.3">
      <c r="A8" t="s">
        <v>42</v>
      </c>
      <c r="B8" t="s">
        <v>28</v>
      </c>
      <c r="C8" t="s">
        <v>14</v>
      </c>
      <c r="D8">
        <v>30826</v>
      </c>
      <c r="E8">
        <v>21039</v>
      </c>
      <c r="F8">
        <v>-9787</v>
      </c>
      <c r="G8">
        <v>-0.3175</v>
      </c>
      <c r="H8" t="s">
        <v>22</v>
      </c>
      <c r="I8" t="s">
        <v>23</v>
      </c>
      <c r="J8" t="s">
        <v>14</v>
      </c>
      <c r="K8">
        <v>0</v>
      </c>
      <c r="L8">
        <v>5598.71</v>
      </c>
    </row>
    <row r="9" spans="1:12" x14ac:dyDescent="0.3">
      <c r="A9" t="s">
        <v>42</v>
      </c>
      <c r="B9" t="s">
        <v>29</v>
      </c>
      <c r="C9" t="s">
        <v>14</v>
      </c>
      <c r="D9">
        <v>47654</v>
      </c>
      <c r="E9">
        <v>69173</v>
      </c>
      <c r="F9">
        <v>21519</v>
      </c>
      <c r="G9">
        <v>0.4516</v>
      </c>
      <c r="H9" t="s">
        <v>15</v>
      </c>
      <c r="I9" t="s">
        <v>35</v>
      </c>
      <c r="J9" t="s">
        <v>17</v>
      </c>
      <c r="K9">
        <v>0</v>
      </c>
      <c r="L9">
        <v>26235.85</v>
      </c>
    </row>
    <row r="10" spans="1:12" x14ac:dyDescent="0.3">
      <c r="A10" t="s">
        <v>42</v>
      </c>
      <c r="B10" t="s">
        <v>31</v>
      </c>
      <c r="C10" t="s">
        <v>14</v>
      </c>
      <c r="D10">
        <v>146652</v>
      </c>
      <c r="E10">
        <v>219440</v>
      </c>
      <c r="F10">
        <v>72788</v>
      </c>
      <c r="G10">
        <v>0.49630000000000002</v>
      </c>
      <c r="H10" t="s">
        <v>15</v>
      </c>
      <c r="I10" t="s">
        <v>30</v>
      </c>
      <c r="J10" t="s">
        <v>17</v>
      </c>
      <c r="K10">
        <v>0</v>
      </c>
      <c r="L10">
        <v>70464.52</v>
      </c>
    </row>
    <row r="11" spans="1:12" x14ac:dyDescent="0.3">
      <c r="A11" t="s">
        <v>42</v>
      </c>
      <c r="B11" t="s">
        <v>32</v>
      </c>
      <c r="C11" t="s">
        <v>14</v>
      </c>
      <c r="D11">
        <v>90969</v>
      </c>
      <c r="E11">
        <v>112369</v>
      </c>
      <c r="F11">
        <v>21400</v>
      </c>
      <c r="G11">
        <v>0.23519999999999999</v>
      </c>
      <c r="H11" t="s">
        <v>15</v>
      </c>
      <c r="I11" t="s">
        <v>23</v>
      </c>
      <c r="J11" t="s">
        <v>14</v>
      </c>
      <c r="K11">
        <v>0</v>
      </c>
      <c r="L11">
        <v>36907.96</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L11"/>
  <sheetViews>
    <sheetView workbookViewId="0"/>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43</v>
      </c>
      <c r="B2" t="s">
        <v>13</v>
      </c>
      <c r="C2" t="s">
        <v>14</v>
      </c>
      <c r="D2">
        <v>100368</v>
      </c>
      <c r="E2">
        <v>69355</v>
      </c>
      <c r="F2">
        <v>-31013</v>
      </c>
      <c r="G2">
        <v>-0.309</v>
      </c>
      <c r="H2" t="s">
        <v>22</v>
      </c>
      <c r="I2" t="s">
        <v>19</v>
      </c>
      <c r="J2" t="s">
        <v>24</v>
      </c>
      <c r="K2">
        <v>8</v>
      </c>
      <c r="L2">
        <v>24035.53</v>
      </c>
    </row>
    <row r="3" spans="1:12" x14ac:dyDescent="0.3">
      <c r="A3" t="s">
        <v>43</v>
      </c>
      <c r="B3" t="s">
        <v>18</v>
      </c>
      <c r="C3" t="s">
        <v>14</v>
      </c>
      <c r="D3">
        <v>111811</v>
      </c>
      <c r="E3">
        <v>75272</v>
      </c>
      <c r="F3">
        <v>-36539</v>
      </c>
      <c r="G3">
        <v>-0.32679999999999998</v>
      </c>
      <c r="H3" t="s">
        <v>22</v>
      </c>
      <c r="I3" t="s">
        <v>19</v>
      </c>
      <c r="J3" t="s">
        <v>34</v>
      </c>
      <c r="K3">
        <v>0</v>
      </c>
      <c r="L3">
        <v>20654.009999999998</v>
      </c>
    </row>
    <row r="4" spans="1:12" x14ac:dyDescent="0.3">
      <c r="A4" t="s">
        <v>43</v>
      </c>
      <c r="B4" t="s">
        <v>21</v>
      </c>
      <c r="C4" t="s">
        <v>14</v>
      </c>
      <c r="D4">
        <v>132208</v>
      </c>
      <c r="E4">
        <v>184076</v>
      </c>
      <c r="F4">
        <v>51868</v>
      </c>
      <c r="G4">
        <v>0.39229999999999998</v>
      </c>
      <c r="H4" t="s">
        <v>15</v>
      </c>
      <c r="I4" t="s">
        <v>35</v>
      </c>
      <c r="J4" t="s">
        <v>14</v>
      </c>
      <c r="K4">
        <v>0</v>
      </c>
      <c r="L4">
        <v>51093.35</v>
      </c>
    </row>
    <row r="5" spans="1:12" x14ac:dyDescent="0.3">
      <c r="A5" t="s">
        <v>43</v>
      </c>
      <c r="B5" t="s">
        <v>25</v>
      </c>
      <c r="C5" t="s">
        <v>14</v>
      </c>
      <c r="D5">
        <v>65528</v>
      </c>
      <c r="E5">
        <v>81081</v>
      </c>
      <c r="F5">
        <v>15553</v>
      </c>
      <c r="G5">
        <v>0.23730000000000001</v>
      </c>
      <c r="H5" t="s">
        <v>15</v>
      </c>
      <c r="I5" t="s">
        <v>16</v>
      </c>
      <c r="J5" t="s">
        <v>17</v>
      </c>
      <c r="K5">
        <v>0</v>
      </c>
      <c r="L5">
        <v>17302.38</v>
      </c>
    </row>
    <row r="6" spans="1:12" x14ac:dyDescent="0.3">
      <c r="A6" t="s">
        <v>43</v>
      </c>
      <c r="B6" t="s">
        <v>26</v>
      </c>
      <c r="C6" t="s">
        <v>14</v>
      </c>
      <c r="D6">
        <v>111660</v>
      </c>
      <c r="E6">
        <v>91991</v>
      </c>
      <c r="F6">
        <v>-19669</v>
      </c>
      <c r="G6">
        <v>-0.1762</v>
      </c>
      <c r="I6" t="s">
        <v>16</v>
      </c>
      <c r="J6" t="s">
        <v>34</v>
      </c>
      <c r="K6">
        <v>0</v>
      </c>
      <c r="L6">
        <v>16200.04</v>
      </c>
    </row>
    <row r="7" spans="1:12" x14ac:dyDescent="0.3">
      <c r="A7" t="s">
        <v>43</v>
      </c>
      <c r="B7" t="s">
        <v>27</v>
      </c>
      <c r="C7" t="s">
        <v>14</v>
      </c>
      <c r="D7">
        <v>72676</v>
      </c>
      <c r="E7">
        <v>80984</v>
      </c>
      <c r="F7">
        <v>8308</v>
      </c>
      <c r="G7">
        <v>0.1143</v>
      </c>
      <c r="I7" t="s">
        <v>23</v>
      </c>
      <c r="J7" t="s">
        <v>20</v>
      </c>
      <c r="K7">
        <v>0</v>
      </c>
      <c r="L7">
        <v>26737.55</v>
      </c>
    </row>
    <row r="8" spans="1:12" x14ac:dyDescent="0.3">
      <c r="A8" t="s">
        <v>43</v>
      </c>
      <c r="B8" t="s">
        <v>28</v>
      </c>
      <c r="C8" t="s">
        <v>14</v>
      </c>
      <c r="D8">
        <v>126962</v>
      </c>
      <c r="E8">
        <v>161215</v>
      </c>
      <c r="F8">
        <v>34253</v>
      </c>
      <c r="G8">
        <v>0.26979999999999998</v>
      </c>
      <c r="H8" t="s">
        <v>15</v>
      </c>
      <c r="I8" t="s">
        <v>16</v>
      </c>
      <c r="J8" t="s">
        <v>17</v>
      </c>
      <c r="K8">
        <v>0</v>
      </c>
      <c r="L8">
        <v>27608.38</v>
      </c>
    </row>
    <row r="9" spans="1:12" x14ac:dyDescent="0.3">
      <c r="A9" t="s">
        <v>43</v>
      </c>
      <c r="B9" t="s">
        <v>29</v>
      </c>
      <c r="C9" t="s">
        <v>14</v>
      </c>
      <c r="D9">
        <v>72028</v>
      </c>
      <c r="E9">
        <v>74184</v>
      </c>
      <c r="F9">
        <v>2156</v>
      </c>
      <c r="G9">
        <v>2.9899999999999999E-2</v>
      </c>
      <c r="I9" t="s">
        <v>35</v>
      </c>
      <c r="J9" t="s">
        <v>14</v>
      </c>
      <c r="K9">
        <v>0</v>
      </c>
      <c r="L9">
        <v>12394.57</v>
      </c>
    </row>
    <row r="10" spans="1:12" x14ac:dyDescent="0.3">
      <c r="A10" t="s">
        <v>43</v>
      </c>
      <c r="B10" t="s">
        <v>31</v>
      </c>
      <c r="C10" t="s">
        <v>14</v>
      </c>
      <c r="D10">
        <v>145218</v>
      </c>
      <c r="E10">
        <v>88719</v>
      </c>
      <c r="F10">
        <v>-56499</v>
      </c>
      <c r="G10">
        <v>-0.3891</v>
      </c>
      <c r="H10" t="s">
        <v>22</v>
      </c>
      <c r="I10" t="s">
        <v>19</v>
      </c>
      <c r="J10" t="s">
        <v>17</v>
      </c>
      <c r="K10">
        <v>0</v>
      </c>
      <c r="L10">
        <v>17460.419999999998</v>
      </c>
    </row>
    <row r="11" spans="1:12" x14ac:dyDescent="0.3">
      <c r="A11" t="s">
        <v>43</v>
      </c>
      <c r="B11" t="s">
        <v>32</v>
      </c>
      <c r="C11" t="s">
        <v>14</v>
      </c>
      <c r="D11">
        <v>25642</v>
      </c>
      <c r="E11">
        <v>36723</v>
      </c>
      <c r="F11">
        <v>11081</v>
      </c>
      <c r="G11">
        <v>0.43209999999999998</v>
      </c>
      <c r="H11" t="s">
        <v>15</v>
      </c>
      <c r="I11" t="s">
        <v>23</v>
      </c>
      <c r="J11" t="s">
        <v>17</v>
      </c>
      <c r="K11">
        <v>0</v>
      </c>
      <c r="L11">
        <v>6459.47</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L11"/>
  <sheetViews>
    <sheetView workbookViewId="0">
      <selection activeCell="K4" sqref="K4"/>
    </sheetView>
  </sheetViews>
  <sheetFormatPr defaultRowHeight="14.4" x14ac:dyDescent="0.3"/>
  <cols>
    <col min="9" max="9" width="10.44140625" customWidth="1"/>
    <col min="10" max="10" width="11.4414062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44</v>
      </c>
      <c r="B2" t="s">
        <v>13</v>
      </c>
      <c r="C2" t="s">
        <v>14</v>
      </c>
      <c r="D2">
        <v>110403</v>
      </c>
      <c r="E2">
        <v>73737</v>
      </c>
      <c r="F2">
        <v>-36666</v>
      </c>
      <c r="G2">
        <v>-0.33210000000000001</v>
      </c>
      <c r="H2" t="s">
        <v>22</v>
      </c>
      <c r="I2" t="s">
        <v>35</v>
      </c>
      <c r="J2" t="s">
        <v>14</v>
      </c>
      <c r="K2">
        <v>13</v>
      </c>
      <c r="L2">
        <v>13888.23</v>
      </c>
    </row>
    <row r="3" spans="1:12" x14ac:dyDescent="0.3">
      <c r="A3" t="s">
        <v>44</v>
      </c>
      <c r="B3" t="s">
        <v>18</v>
      </c>
      <c r="C3" t="s">
        <v>14</v>
      </c>
      <c r="D3">
        <v>149458</v>
      </c>
      <c r="E3">
        <v>183419</v>
      </c>
      <c r="F3">
        <v>33961</v>
      </c>
      <c r="G3">
        <v>0.22720000000000001</v>
      </c>
      <c r="H3" t="s">
        <v>15</v>
      </c>
      <c r="I3" t="s">
        <v>16</v>
      </c>
      <c r="J3" t="s">
        <v>14</v>
      </c>
      <c r="K3">
        <v>0</v>
      </c>
      <c r="L3">
        <v>68704.41</v>
      </c>
    </row>
    <row r="4" spans="1:12" x14ac:dyDescent="0.3">
      <c r="A4" t="s">
        <v>44</v>
      </c>
      <c r="B4" t="s">
        <v>21</v>
      </c>
      <c r="C4" t="s">
        <v>14</v>
      </c>
      <c r="D4">
        <v>144631</v>
      </c>
      <c r="E4">
        <v>94310</v>
      </c>
      <c r="F4">
        <v>-50321</v>
      </c>
      <c r="G4">
        <v>-0.34789999999999999</v>
      </c>
      <c r="H4" t="s">
        <v>22</v>
      </c>
      <c r="I4" t="s">
        <v>23</v>
      </c>
      <c r="J4" t="s">
        <v>20</v>
      </c>
      <c r="K4">
        <v>0</v>
      </c>
      <c r="L4">
        <v>18927.830000000002</v>
      </c>
    </row>
    <row r="5" spans="1:12" x14ac:dyDescent="0.3">
      <c r="A5" t="s">
        <v>44</v>
      </c>
      <c r="B5" t="s">
        <v>25</v>
      </c>
      <c r="C5" t="s">
        <v>14</v>
      </c>
      <c r="D5">
        <v>42058</v>
      </c>
      <c r="E5">
        <v>49719</v>
      </c>
      <c r="F5">
        <v>7661</v>
      </c>
      <c r="G5">
        <v>0.1822</v>
      </c>
      <c r="I5" t="s">
        <v>30</v>
      </c>
      <c r="J5" t="s">
        <v>20</v>
      </c>
      <c r="K5">
        <v>0</v>
      </c>
      <c r="L5">
        <v>13677.54</v>
      </c>
    </row>
    <row r="6" spans="1:12" x14ac:dyDescent="0.3">
      <c r="A6" t="s">
        <v>44</v>
      </c>
      <c r="B6" t="s">
        <v>26</v>
      </c>
      <c r="C6" t="s">
        <v>14</v>
      </c>
      <c r="D6">
        <v>30105</v>
      </c>
      <c r="E6">
        <v>44463</v>
      </c>
      <c r="F6">
        <v>14358</v>
      </c>
      <c r="G6">
        <v>0.47689999999999999</v>
      </c>
      <c r="H6" t="s">
        <v>15</v>
      </c>
      <c r="I6" t="s">
        <v>16</v>
      </c>
      <c r="J6" t="s">
        <v>14</v>
      </c>
      <c r="K6">
        <v>0</v>
      </c>
      <c r="L6">
        <v>8178.04</v>
      </c>
    </row>
    <row r="7" spans="1:12" x14ac:dyDescent="0.3">
      <c r="A7" t="s">
        <v>44</v>
      </c>
      <c r="B7" t="s">
        <v>27</v>
      </c>
      <c r="C7" t="s">
        <v>14</v>
      </c>
      <c r="D7">
        <v>73456</v>
      </c>
      <c r="E7">
        <v>83923</v>
      </c>
      <c r="F7">
        <v>10467</v>
      </c>
      <c r="G7">
        <v>0.14249999999999999</v>
      </c>
      <c r="I7" t="s">
        <v>19</v>
      </c>
      <c r="J7" t="s">
        <v>17</v>
      </c>
      <c r="K7">
        <v>0</v>
      </c>
      <c r="L7">
        <v>31326.62</v>
      </c>
    </row>
    <row r="8" spans="1:12" x14ac:dyDescent="0.3">
      <c r="A8" t="s">
        <v>44</v>
      </c>
      <c r="B8" t="s">
        <v>28</v>
      </c>
      <c r="C8" t="s">
        <v>14</v>
      </c>
      <c r="D8">
        <v>126929</v>
      </c>
      <c r="E8">
        <v>184658</v>
      </c>
      <c r="F8">
        <v>57729</v>
      </c>
      <c r="G8">
        <v>0.45479999999999998</v>
      </c>
      <c r="H8" t="s">
        <v>15</v>
      </c>
      <c r="I8" t="s">
        <v>19</v>
      </c>
      <c r="J8" t="s">
        <v>14</v>
      </c>
      <c r="K8">
        <v>0</v>
      </c>
      <c r="L8">
        <v>41635.379999999997</v>
      </c>
    </row>
    <row r="9" spans="1:12" x14ac:dyDescent="0.3">
      <c r="A9" t="s">
        <v>44</v>
      </c>
      <c r="B9" t="s">
        <v>29</v>
      </c>
      <c r="C9" t="s">
        <v>14</v>
      </c>
      <c r="D9">
        <v>141254</v>
      </c>
      <c r="E9">
        <v>194853</v>
      </c>
      <c r="F9">
        <v>53599</v>
      </c>
      <c r="G9">
        <v>0.3795</v>
      </c>
      <c r="H9" t="s">
        <v>15</v>
      </c>
      <c r="I9" t="s">
        <v>19</v>
      </c>
      <c r="J9" t="s">
        <v>17</v>
      </c>
      <c r="K9">
        <v>0</v>
      </c>
      <c r="L9">
        <v>21026.61</v>
      </c>
    </row>
    <row r="10" spans="1:12" x14ac:dyDescent="0.3">
      <c r="A10" t="s">
        <v>44</v>
      </c>
      <c r="B10" t="s">
        <v>31</v>
      </c>
      <c r="C10" t="s">
        <v>14</v>
      </c>
      <c r="D10">
        <v>68940</v>
      </c>
      <c r="E10">
        <v>91655</v>
      </c>
      <c r="F10">
        <v>22715</v>
      </c>
      <c r="G10">
        <v>0.32950000000000002</v>
      </c>
      <c r="H10" t="s">
        <v>15</v>
      </c>
      <c r="I10" t="s">
        <v>35</v>
      </c>
      <c r="J10" t="s">
        <v>34</v>
      </c>
      <c r="K10">
        <v>0</v>
      </c>
      <c r="L10">
        <v>25502.02</v>
      </c>
    </row>
    <row r="11" spans="1:12" x14ac:dyDescent="0.3">
      <c r="A11" t="s">
        <v>44</v>
      </c>
      <c r="B11" t="s">
        <v>32</v>
      </c>
      <c r="C11" t="s">
        <v>14</v>
      </c>
      <c r="D11">
        <v>69515</v>
      </c>
      <c r="E11">
        <v>102390</v>
      </c>
      <c r="F11">
        <v>32875</v>
      </c>
      <c r="G11">
        <v>0.47289999999999999</v>
      </c>
      <c r="H11" t="s">
        <v>15</v>
      </c>
      <c r="I11" t="s">
        <v>16</v>
      </c>
      <c r="J11" t="s">
        <v>14</v>
      </c>
      <c r="K11">
        <v>0</v>
      </c>
      <c r="L11">
        <v>35989.94</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L11"/>
  <sheetViews>
    <sheetView workbookViewId="0">
      <selection activeCell="L2" sqref="L2"/>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45</v>
      </c>
      <c r="B2" t="s">
        <v>13</v>
      </c>
      <c r="C2" t="s">
        <v>14</v>
      </c>
      <c r="D2">
        <v>80930</v>
      </c>
      <c r="E2">
        <v>78772</v>
      </c>
      <c r="F2">
        <v>-2158</v>
      </c>
      <c r="G2">
        <v>-2.6700000000000002E-2</v>
      </c>
      <c r="I2" t="s">
        <v>35</v>
      </c>
      <c r="J2" t="s">
        <v>17</v>
      </c>
      <c r="K2">
        <v>15</v>
      </c>
      <c r="L2">
        <v>9658.06</v>
      </c>
    </row>
    <row r="3" spans="1:12" x14ac:dyDescent="0.3">
      <c r="A3" t="s">
        <v>45</v>
      </c>
      <c r="B3" t="s">
        <v>18</v>
      </c>
      <c r="C3" t="s">
        <v>14</v>
      </c>
      <c r="D3">
        <v>109922</v>
      </c>
      <c r="E3">
        <v>118815</v>
      </c>
      <c r="F3">
        <v>8893</v>
      </c>
      <c r="G3">
        <v>8.09E-2</v>
      </c>
      <c r="I3" t="s">
        <v>19</v>
      </c>
      <c r="J3" t="s">
        <v>34</v>
      </c>
      <c r="K3">
        <v>0</v>
      </c>
      <c r="L3">
        <v>31679.59</v>
      </c>
    </row>
    <row r="4" spans="1:12" x14ac:dyDescent="0.3">
      <c r="A4" t="s">
        <v>45</v>
      </c>
      <c r="B4" t="s">
        <v>21</v>
      </c>
      <c r="C4" t="s">
        <v>14</v>
      </c>
      <c r="D4">
        <v>119968</v>
      </c>
      <c r="E4">
        <v>173988</v>
      </c>
      <c r="F4">
        <v>54020</v>
      </c>
      <c r="G4">
        <v>0.45029999999999998</v>
      </c>
      <c r="H4" t="s">
        <v>15</v>
      </c>
      <c r="I4" t="s">
        <v>30</v>
      </c>
      <c r="J4" t="s">
        <v>34</v>
      </c>
      <c r="K4">
        <v>0</v>
      </c>
      <c r="L4">
        <v>30309.48</v>
      </c>
    </row>
    <row r="5" spans="1:12" x14ac:dyDescent="0.3">
      <c r="A5" t="s">
        <v>45</v>
      </c>
      <c r="B5" t="s">
        <v>25</v>
      </c>
      <c r="C5" t="s">
        <v>14</v>
      </c>
      <c r="D5">
        <v>78570</v>
      </c>
      <c r="E5">
        <v>56275</v>
      </c>
      <c r="F5">
        <v>-22295</v>
      </c>
      <c r="G5">
        <v>-0.2838</v>
      </c>
      <c r="H5" t="s">
        <v>22</v>
      </c>
      <c r="I5" t="s">
        <v>16</v>
      </c>
      <c r="J5" t="s">
        <v>17</v>
      </c>
      <c r="K5">
        <v>0</v>
      </c>
      <c r="L5">
        <v>15861.24</v>
      </c>
    </row>
    <row r="6" spans="1:12" x14ac:dyDescent="0.3">
      <c r="A6" t="s">
        <v>45</v>
      </c>
      <c r="B6" t="s">
        <v>26</v>
      </c>
      <c r="C6" t="s">
        <v>14</v>
      </c>
      <c r="D6">
        <v>49723</v>
      </c>
      <c r="E6">
        <v>59892</v>
      </c>
      <c r="F6">
        <v>10169</v>
      </c>
      <c r="G6">
        <v>0.20449999999999999</v>
      </c>
      <c r="H6" t="s">
        <v>15</v>
      </c>
      <c r="I6" t="s">
        <v>30</v>
      </c>
      <c r="J6" t="s">
        <v>20</v>
      </c>
      <c r="K6">
        <v>0</v>
      </c>
      <c r="L6">
        <v>10816.6</v>
      </c>
    </row>
    <row r="7" spans="1:12" x14ac:dyDescent="0.3">
      <c r="A7" t="s">
        <v>45</v>
      </c>
      <c r="B7" t="s">
        <v>27</v>
      </c>
      <c r="C7" t="s">
        <v>14</v>
      </c>
      <c r="D7">
        <v>22884</v>
      </c>
      <c r="E7">
        <v>23990</v>
      </c>
      <c r="F7">
        <v>1106</v>
      </c>
      <c r="G7">
        <v>4.8300000000000003E-2</v>
      </c>
      <c r="I7" t="s">
        <v>16</v>
      </c>
      <c r="J7" t="s">
        <v>34</v>
      </c>
      <c r="K7">
        <v>0</v>
      </c>
      <c r="L7">
        <v>4614.07</v>
      </c>
    </row>
    <row r="8" spans="1:12" x14ac:dyDescent="0.3">
      <c r="A8" t="s">
        <v>45</v>
      </c>
      <c r="B8" t="s">
        <v>28</v>
      </c>
      <c r="C8" t="s">
        <v>14</v>
      </c>
      <c r="D8">
        <v>126130</v>
      </c>
      <c r="E8">
        <v>185559</v>
      </c>
      <c r="F8">
        <v>59429</v>
      </c>
      <c r="G8">
        <v>0.47120000000000001</v>
      </c>
      <c r="H8" t="s">
        <v>15</v>
      </c>
      <c r="I8" t="s">
        <v>16</v>
      </c>
      <c r="J8" t="s">
        <v>14</v>
      </c>
      <c r="K8">
        <v>0</v>
      </c>
      <c r="L8">
        <v>51397.39</v>
      </c>
    </row>
    <row r="9" spans="1:12" x14ac:dyDescent="0.3">
      <c r="A9" t="s">
        <v>45</v>
      </c>
      <c r="B9" t="s">
        <v>29</v>
      </c>
      <c r="C9" t="s">
        <v>14</v>
      </c>
      <c r="D9">
        <v>82405</v>
      </c>
      <c r="E9">
        <v>80631</v>
      </c>
      <c r="F9">
        <v>-1774</v>
      </c>
      <c r="G9">
        <v>-2.1499999999999998E-2</v>
      </c>
      <c r="I9" t="s">
        <v>19</v>
      </c>
      <c r="J9" t="s">
        <v>17</v>
      </c>
      <c r="K9">
        <v>0</v>
      </c>
      <c r="L9">
        <v>23528.799999999999</v>
      </c>
    </row>
    <row r="10" spans="1:12" x14ac:dyDescent="0.3">
      <c r="A10" t="s">
        <v>45</v>
      </c>
      <c r="B10" t="s">
        <v>31</v>
      </c>
      <c r="C10" t="s">
        <v>14</v>
      </c>
      <c r="D10">
        <v>124655</v>
      </c>
      <c r="E10">
        <v>176117</v>
      </c>
      <c r="F10">
        <v>51462</v>
      </c>
      <c r="G10">
        <v>0.4128</v>
      </c>
      <c r="H10" t="s">
        <v>15</v>
      </c>
      <c r="I10" t="s">
        <v>23</v>
      </c>
      <c r="J10" t="s">
        <v>24</v>
      </c>
      <c r="K10">
        <v>0</v>
      </c>
      <c r="L10">
        <v>36135.03</v>
      </c>
    </row>
    <row r="11" spans="1:12" x14ac:dyDescent="0.3">
      <c r="A11" t="s">
        <v>45</v>
      </c>
      <c r="B11" t="s">
        <v>32</v>
      </c>
      <c r="C11" t="s">
        <v>14</v>
      </c>
      <c r="D11">
        <v>96689</v>
      </c>
      <c r="E11">
        <v>92146</v>
      </c>
      <c r="F11">
        <v>-4543</v>
      </c>
      <c r="G11">
        <v>-4.7E-2</v>
      </c>
      <c r="I11" t="s">
        <v>16</v>
      </c>
      <c r="J11" t="s">
        <v>34</v>
      </c>
      <c r="K11">
        <v>0</v>
      </c>
      <c r="L11">
        <v>34208.980000000003</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445ACB6D-6728-48FF-976F-5B02EECEDE7B}">
  <ds:schemaRefs>
    <ds:schemaRef ds:uri="http://schemas.microsoft.com/DataMashup"/>
  </ds:schemaRefs>
</ds:datastoreItem>
</file>

<file path=customXml/itemProps2.xml><?xml version="1.0" encoding="utf-8"?>
<ds:datastoreItem xmlns:ds="http://schemas.openxmlformats.org/officeDocument/2006/customXml" ds:itemID="{371FC486-4D9C-4C23-8812-D74370A60C6A}">
  <ds:schemaRefs/>
</ds:datastoreItem>
</file>

<file path=customXml/itemProps3.xml><?xml version="1.0" encoding="utf-8"?>
<ds:datastoreItem xmlns:ds="http://schemas.openxmlformats.org/officeDocument/2006/customXml" ds:itemID="{25A14AB3-965C-4EB9-97A9-B0791E8C76E5}">
  <ds:schemaRefs/>
</ds:datastoreItem>
</file>

<file path=customXml/itemProps4.xml><?xml version="1.0" encoding="utf-8"?>
<ds:datastoreItem xmlns:ds="http://schemas.openxmlformats.org/officeDocument/2006/customXml" ds:itemID="{7E4B04C6-6175-40B0-A49D-C664FFF253B0}">
  <ds:schemaRefs/>
</ds:datastoreItem>
</file>

<file path=customXml/itemProps5.xml><?xml version="1.0" encoding="utf-8"?>
<ds:datastoreItem xmlns:ds="http://schemas.openxmlformats.org/officeDocument/2006/customXml" ds:itemID="{11B7CF6B-A008-4F69-9D5A-7829BE45F865}">
  <ds:schemaRefs/>
</ds:datastoreItem>
</file>

<file path=customXml/itemProps6.xml><?xml version="1.0" encoding="utf-8"?>
<ds:datastoreItem xmlns:ds="http://schemas.openxmlformats.org/officeDocument/2006/customXml" ds:itemID="{42D8AC8C-9588-4B3B-9581-8E50D8D54FC7}">
  <ds:schemaRefs/>
</ds:datastoreItem>
</file>

<file path=customXml/itemProps7.xml><?xml version="1.0" encoding="utf-8"?>
<ds:datastoreItem xmlns:ds="http://schemas.openxmlformats.org/officeDocument/2006/customXml" ds:itemID="{0A340BAB-2D1E-478E-B32C-45D46E9DFA73}">
  <ds:schemaRefs/>
</ds:datastoreItem>
</file>

<file path=customXml/itemProps8.xml><?xml version="1.0" encoding="utf-8"?>
<ds:datastoreItem xmlns:ds="http://schemas.openxmlformats.org/officeDocument/2006/customXml" ds:itemID="{C9F79AEC-ECAA-4C8D-954C-E832465945AC}">
  <ds:schemaRefs/>
</ds:datastoreItem>
</file>

<file path=customXml/itemProps9.xml><?xml version="1.0" encoding="utf-8"?>
<ds:datastoreItem xmlns:ds="http://schemas.openxmlformats.org/officeDocument/2006/customXml" ds:itemID="{840F96A2-91EF-468B-9351-45970F67C8AB}">
  <ds:schemaRefs/>
</ds:datastoreItem>
</file>

<file path=customXml/itemProps10.xml><?xml version="1.0" encoding="utf-8"?>
<ds:datastoreItem xmlns:ds="http://schemas.openxmlformats.org/officeDocument/2006/customXml" ds:itemID="{02BB5BFD-FFAA-43D2-8B68-584F1FDB07A6}">
  <ds:schemaRefs/>
</ds:datastoreItem>
</file>

<file path=customXml/itemProps11.xml><?xml version="1.0" encoding="utf-8"?>
<ds:datastoreItem xmlns:ds="http://schemas.openxmlformats.org/officeDocument/2006/customXml" ds:itemID="{D0DF60CD-BAB1-4588-8701-B9C4210477A9}">
  <ds:schemaRefs/>
</ds:datastoreItem>
</file>

<file path=customXml/itemProps12.xml><?xml version="1.0" encoding="utf-8"?>
<ds:datastoreItem xmlns:ds="http://schemas.openxmlformats.org/officeDocument/2006/customXml" ds:itemID="{8BC32CAD-B612-42ED-BE3D-24E724D11603}">
  <ds:schemaRefs/>
</ds:datastoreItem>
</file>

<file path=customXml/itemProps13.xml><?xml version="1.0" encoding="utf-8"?>
<ds:datastoreItem xmlns:ds="http://schemas.openxmlformats.org/officeDocument/2006/customXml" ds:itemID="{476BB9BE-E9EC-48DB-B45B-1CB81AE16A03}">
  <ds:schemaRefs/>
</ds:datastoreItem>
</file>

<file path=customXml/itemProps14.xml><?xml version="1.0" encoding="utf-8"?>
<ds:datastoreItem xmlns:ds="http://schemas.openxmlformats.org/officeDocument/2006/customXml" ds:itemID="{D0017E0D-0D50-4B0C-9DC7-B392F7F22B52}">
  <ds:schemaRefs/>
</ds:datastoreItem>
</file>

<file path=customXml/itemProps15.xml><?xml version="1.0" encoding="utf-8"?>
<ds:datastoreItem xmlns:ds="http://schemas.openxmlformats.org/officeDocument/2006/customXml" ds:itemID="{508110BD-F8AA-4194-8FA4-B585820D84EE}">
  <ds:schemaRefs/>
</ds:datastoreItem>
</file>

<file path=customXml/itemProps16.xml><?xml version="1.0" encoding="utf-8"?>
<ds:datastoreItem xmlns:ds="http://schemas.openxmlformats.org/officeDocument/2006/customXml" ds:itemID="{929A733D-3268-407C-B9CD-53AD94D5406D}">
  <ds:schemaRefs/>
</ds:datastoreItem>
</file>

<file path=customXml/itemProps17.xml><?xml version="1.0" encoding="utf-8"?>
<ds:datastoreItem xmlns:ds="http://schemas.openxmlformats.org/officeDocument/2006/customXml" ds:itemID="{D6177CBC-2073-4B55-A6F3-801B4494BD5F}">
  <ds:schemaRefs/>
</ds:datastoreItem>
</file>

<file path=customXml/itemProps18.xml><?xml version="1.0" encoding="utf-8"?>
<ds:datastoreItem xmlns:ds="http://schemas.openxmlformats.org/officeDocument/2006/customXml" ds:itemID="{32B2E2D7-569A-4809-B454-119A01848A20}">
  <ds:schemaRefs/>
</ds:datastoreItem>
</file>

<file path=customXml/itemProps19.xml><?xml version="1.0" encoding="utf-8"?>
<ds:datastoreItem xmlns:ds="http://schemas.openxmlformats.org/officeDocument/2006/customXml" ds:itemID="{8FC961D9-6600-422A-B2C0-085B473BDF3E}">
  <ds:schemaRefs/>
</ds:datastoreItem>
</file>

<file path=customXml/itemProps20.xml><?xml version="1.0" encoding="utf-8"?>
<ds:datastoreItem xmlns:ds="http://schemas.openxmlformats.org/officeDocument/2006/customXml" ds:itemID="{A1B0F73C-784D-4A89-8F4A-FEE8D7024D9E}">
  <ds:schemaRefs/>
</ds:datastoreItem>
</file>

<file path=customXml/itemProps21.xml><?xml version="1.0" encoding="utf-8"?>
<ds:datastoreItem xmlns:ds="http://schemas.openxmlformats.org/officeDocument/2006/customXml" ds:itemID="{36DE9009-B8AF-461A-B66E-F4BF4C11F996}">
  <ds:schemaRefs/>
</ds:datastoreItem>
</file>

<file path=customXml/itemProps22.xml><?xml version="1.0" encoding="utf-8"?>
<ds:datastoreItem xmlns:ds="http://schemas.openxmlformats.org/officeDocument/2006/customXml" ds:itemID="{3B72DF31-AAF3-4288-A31E-B8175D855D1D}">
  <ds:schemaRefs/>
</ds:datastoreItem>
</file>

<file path=customXml/itemProps23.xml><?xml version="1.0" encoding="utf-8"?>
<ds:datastoreItem xmlns:ds="http://schemas.openxmlformats.org/officeDocument/2006/customXml" ds:itemID="{ABAA2719-00F3-47EE-8EA6-38AB41766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Landing</vt:lpstr>
      <vt:lpstr>Summary</vt:lpstr>
      <vt:lpstr>Dashboard</vt:lpstr>
      <vt:lpstr>AllData</vt:lpstr>
      <vt:lpstr>Jan 2025</vt:lpstr>
      <vt:lpstr>Feb 2025</vt:lpstr>
      <vt:lpstr>Mar 2025</vt:lpstr>
      <vt:lpstr>Apr 2025</vt:lpstr>
      <vt:lpstr>May 2025</vt:lpstr>
      <vt:lpstr>Jun 2025</vt:lpstr>
      <vt:lpstr>Jul 2025</vt:lpstr>
      <vt:lpstr>Aug 2025</vt:lpstr>
      <vt:lpstr>Sep 2025</vt:lpstr>
      <vt:lpstr>Oct 2025</vt:lpstr>
      <vt:lpstr>Nov 2025</vt:lpstr>
      <vt:lpstr>Dec 2025</vt:lpstr>
      <vt:lpstr>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R10001</cp:lastModifiedBy>
  <cp:lastPrinted>2025-12-05T07:21:52Z</cp:lastPrinted>
  <dcterms:created xsi:type="dcterms:W3CDTF">2025-12-03T10:50:47Z</dcterms:created>
  <dcterms:modified xsi:type="dcterms:W3CDTF">2025-12-05T07:22:34Z</dcterms:modified>
</cp:coreProperties>
</file>